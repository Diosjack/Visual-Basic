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-120" yWindow="-120" windowWidth="29040" windowHeight="15840"/>
  </bookViews>
  <sheets>
    <sheet name="Expediente Digital" sheetId="1" r:id="rId1"/>
    <sheet name="Puestos" sheetId="7" state="veryHidden" r:id="rId2"/>
    <sheet name="Base de datos" sheetId="2" state="veryHidden" r:id="rId3"/>
    <sheet name="Fechas" sheetId="3" state="veryHidden" r:id="rId4"/>
    <sheet name="Informacion" sheetId="4" state="veryHidden" r:id="rId5"/>
    <sheet name="Base RH linea" sheetId="6" state="veryHidden" r:id="rId6"/>
    <sheet name="Capcitaciones" sheetId="8" state="veryHidden" r:id="rId7"/>
    <sheet name="Capacitaciones Query" sheetId="9" state="veryHidden" r:id="rId8"/>
    <sheet name="Eventos Diciplinarios" sheetId="10" state="veryHidden" r:id="rId9"/>
    <sheet name="Eventos Diciplinarios Query" sheetId="11" state="veryHidden" r:id="rId10"/>
  </sheets>
  <definedNames>
    <definedName name="DatosExternos_1" localSheetId="5" hidden="1">'Base RH linea'!$A$1:$I$159</definedName>
    <definedName name="DatosExternos_1" localSheetId="1" hidden="1">Puestos!$A$1:$B$105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3" l="1"/>
  <c r="G2" i="3" l="1"/>
  <c r="I2" i="3" l="1"/>
  <c r="C2" i="3" l="1"/>
  <c r="D2" i="3" s="1"/>
</calcChain>
</file>

<file path=xl/connections.xml><?xml version="1.0" encoding="utf-8"?>
<connections xmlns="http://schemas.openxmlformats.org/spreadsheetml/2006/main">
  <connection id="1" keepAlive="1" name="Consulta - Colaboradores y dias de vacas" description="Conexión a la consulta 'Colaboradores y dias de vacas' en el libro." type="5" refreshedVersion="6" background="1" saveData="1">
    <dbPr connection="Provider=Microsoft.Mashup.OleDb.1;Data Source=$Workbook$;Location=Colaboradores y dias de vacas;Extended Properties=&quot;&quot;" command="SELECT * FROM [Colaboradores y dias de vacas]"/>
  </connection>
  <connection id="2" keepAlive="1" name="Consulta - Puestos de trabajo" description="Conexión a la consulta 'Puestos de trabajo' en el libro." type="5" refreshedVersion="6" background="1" saveData="1">
    <dbPr connection="Provider=Microsoft.Mashup.OleDb.1;Data Source=$Workbook$;Location=Puestos de trabajo;Extended Properties=&quot;&quot;" command="SELECT * FROM [Puestos de trabajo]"/>
  </connection>
</connections>
</file>

<file path=xl/sharedStrings.xml><?xml version="1.0" encoding="utf-8"?>
<sst xmlns="http://schemas.openxmlformats.org/spreadsheetml/2006/main" count="4109" uniqueCount="2228">
  <si>
    <t>Código empleado</t>
  </si>
  <si>
    <t>Nombre</t>
  </si>
  <si>
    <t>Apellidos</t>
  </si>
  <si>
    <t>Cédula</t>
  </si>
  <si>
    <t>Sexo</t>
  </si>
  <si>
    <t>Edad</t>
  </si>
  <si>
    <t>Nacionalidad</t>
  </si>
  <si>
    <t>Correo electrónico</t>
  </si>
  <si>
    <t>Teléfono Celular</t>
  </si>
  <si>
    <t>Nivel Educativo</t>
  </si>
  <si>
    <t>Profesión</t>
  </si>
  <si>
    <t>Segundo Idioma</t>
  </si>
  <si>
    <t>Nivel de dominio del idioma</t>
  </si>
  <si>
    <t>Nombre de la Madre</t>
  </si>
  <si>
    <t>Teléfono de la madre</t>
  </si>
  <si>
    <t>Nombre de Padre</t>
  </si>
  <si>
    <t>Teléfono del padre</t>
  </si>
  <si>
    <t>Estado Civil</t>
  </si>
  <si>
    <t>Nombre del Conyugue</t>
  </si>
  <si>
    <t>Teléfono del Conyugue</t>
  </si>
  <si>
    <t>Pariente Cercano</t>
  </si>
  <si>
    <t>Teléfono de pariente cercano.</t>
  </si>
  <si>
    <t>Cantidad de Hijos</t>
  </si>
  <si>
    <t>Nombre Completo Hijo (1)</t>
  </si>
  <si>
    <t>Fecha de Nacimiento</t>
  </si>
  <si>
    <t>Nombre Completo Hijo (2)</t>
  </si>
  <si>
    <t>Fecha de Nacimiento2</t>
  </si>
  <si>
    <t>Nombre Completo Hijo (3)</t>
  </si>
  <si>
    <t>Fecha de Nacimiento3</t>
  </si>
  <si>
    <t>Nombre Completo Hijo (4)</t>
  </si>
  <si>
    <t>Fecha de nacimiento4</t>
  </si>
  <si>
    <t>Nombre Completo Hijo (5)</t>
  </si>
  <si>
    <t>Fecha de Nacimiento5</t>
  </si>
  <si>
    <t>Puesto que desempeña</t>
  </si>
  <si>
    <t>Fecha de ingreso a la compañia</t>
  </si>
  <si>
    <t>Gerencia a la cual reporta</t>
  </si>
  <si>
    <t>Departamento</t>
  </si>
  <si>
    <t>Área en planta</t>
  </si>
  <si>
    <t>Localización o Sede</t>
  </si>
  <si>
    <t>Jefe Inmediato</t>
  </si>
  <si>
    <t>Puesto Desempeñado 1</t>
  </si>
  <si>
    <t>Tiempo en el puesto</t>
  </si>
  <si>
    <t>Puesto Desempeñado 2</t>
  </si>
  <si>
    <t>Tiempo en el puesto2</t>
  </si>
  <si>
    <t>Puesto Desempeñado 3</t>
  </si>
  <si>
    <t>Tiempo en el puesto3</t>
  </si>
  <si>
    <t>Certificaciones Operador FPS</t>
  </si>
  <si>
    <t>Tipo de contrato</t>
  </si>
  <si>
    <t>Cuenta de banco IBAN</t>
  </si>
  <si>
    <t>Jornada de trabajo</t>
  </si>
  <si>
    <t xml:space="preserve">Marco Tulio </t>
  </si>
  <si>
    <t>Sánchez Arce</t>
  </si>
  <si>
    <t>Masculino</t>
  </si>
  <si>
    <t>Costarricense</t>
  </si>
  <si>
    <t>mtsanchez765@gmail.com</t>
  </si>
  <si>
    <t>San Luis de Jiménez, Pococí, Limón, 800 metros noreste de Tuberculos de Costa Rica.</t>
  </si>
  <si>
    <t>Bachiller Educación Media</t>
  </si>
  <si>
    <t>Mecánica industrial;</t>
  </si>
  <si>
    <t>Anabelle Arce Castro.</t>
  </si>
  <si>
    <t>Tulio Sánchez Hernández</t>
  </si>
  <si>
    <t>Divorciado</t>
  </si>
  <si>
    <t>Edith Arce Castro.</t>
  </si>
  <si>
    <t>2</t>
  </si>
  <si>
    <t>Marco Samuel Sánchez Wepolt</t>
  </si>
  <si>
    <t>Analía Sánchez Wepolt</t>
  </si>
  <si>
    <t>Laminador.</t>
  </si>
  <si>
    <t>31/01/2006</t>
  </si>
  <si>
    <t>Producción</t>
  </si>
  <si>
    <t>Laminación</t>
  </si>
  <si>
    <t>Planta Laminados</t>
  </si>
  <si>
    <t>Victor Jiménez.</t>
  </si>
  <si>
    <t>Evacuación</t>
  </si>
  <si>
    <t>6 meses</t>
  </si>
  <si>
    <t>Gruero de laminación</t>
  </si>
  <si>
    <t>1 año.</t>
  </si>
  <si>
    <t>Pupitrero de laminación</t>
  </si>
  <si>
    <t>Trabajo en alturas;Bloqueo y etiquetado (Consignación);Espacios confinados;Operador grúa puente (Remota);</t>
  </si>
  <si>
    <t>Definido</t>
  </si>
  <si>
    <t>Seguro de empresa;</t>
  </si>
  <si>
    <t>Rotativa</t>
  </si>
  <si>
    <t>Reimond</t>
  </si>
  <si>
    <t xml:space="preserve">Nájera Badilla </t>
  </si>
  <si>
    <t>reimond_paul@hotmail.com</t>
  </si>
  <si>
    <t xml:space="preserve">25 metros norte del abastecedor blessing casa mano derecha marrón </t>
  </si>
  <si>
    <t>Noveno Aprobado</t>
  </si>
  <si>
    <t>Operador de Pupitre Laminación ;</t>
  </si>
  <si>
    <t xml:space="preserve">Susana Badilla Vargas </t>
  </si>
  <si>
    <t>Luis Paulino Najera Hernandez</t>
  </si>
  <si>
    <t>Soltero</t>
  </si>
  <si>
    <t xml:space="preserve">Manfred Najera Badilla </t>
  </si>
  <si>
    <t>Operador de Pupitre Principal</t>
  </si>
  <si>
    <t>4/3/2019</t>
  </si>
  <si>
    <t>Michael Valverde</t>
  </si>
  <si>
    <t>Operador atadoras</t>
  </si>
  <si>
    <t xml:space="preserve">Gruero Laminacion </t>
  </si>
  <si>
    <t xml:space="preserve">6 meses </t>
  </si>
  <si>
    <t xml:space="preserve">Ayudante de Laminacion </t>
  </si>
  <si>
    <t>Espacios confinados;Operador grúa puente (Remota);</t>
  </si>
  <si>
    <t>Indefinido</t>
  </si>
  <si>
    <t xml:space="preserve">Eduardo </t>
  </si>
  <si>
    <t>Ortiz Barrantes</t>
  </si>
  <si>
    <t>eduardoortizbarrantes@gmail.com</t>
  </si>
  <si>
    <t>Limon Guacimo Urbanisacio jerifales casa 60 color rosada mano derecha</t>
  </si>
  <si>
    <t>Escuela Completa</t>
  </si>
  <si>
    <t>Soldador;</t>
  </si>
  <si>
    <t>Carmen Barrantes Villedas</t>
  </si>
  <si>
    <t>Jose Antonio Ortiz</t>
  </si>
  <si>
    <t xml:space="preserve">Anderson ORTIZ </t>
  </si>
  <si>
    <t>ANDERSON ORTIZ</t>
  </si>
  <si>
    <t>JOSELYN ORTIZ</t>
  </si>
  <si>
    <t>Soldador de laminación y guiado</t>
  </si>
  <si>
    <t>3/ 4/ 2019</t>
  </si>
  <si>
    <t>Steven Gutierrez</t>
  </si>
  <si>
    <t>Comodín evacuación</t>
  </si>
  <si>
    <t>1 año</t>
  </si>
  <si>
    <t>ASEAM;</t>
  </si>
  <si>
    <t>allan.hidalgo@arcelormittal.com</t>
  </si>
  <si>
    <t xml:space="preserve">Roxana Pococí de la clínica 800mts este carretera a san antonio barrio la curva casa mano de recha de color verde </t>
  </si>
  <si>
    <t>Electricista Industrial;</t>
  </si>
  <si>
    <t>Maribel araya alvarez</t>
  </si>
  <si>
    <t xml:space="preserve">Rafael hidalgo cespedes </t>
  </si>
  <si>
    <t>Casado</t>
  </si>
  <si>
    <t xml:space="preserve">Digna alvarez alvares </t>
  </si>
  <si>
    <t>allan hidalgo marin</t>
  </si>
  <si>
    <t>santiago hidalgo marin</t>
  </si>
  <si>
    <t>operador de pupitre y horno</t>
  </si>
  <si>
    <t>31/01/2003</t>
  </si>
  <si>
    <t xml:space="preserve">Víctor Jiménez </t>
  </si>
  <si>
    <t>eléctrico en mantenimiento</t>
  </si>
  <si>
    <t>5 años y medio en el puesto electrico</t>
  </si>
  <si>
    <t xml:space="preserve">asta la fecha  </t>
  </si>
  <si>
    <t>Trabajo en alturas;Bloqueo y etiquetado (Consignación);Espacios confinados;Operador de montacargas;</t>
  </si>
  <si>
    <t>Dennis</t>
  </si>
  <si>
    <t>Sánchez obando</t>
  </si>
  <si>
    <t>Dennis  649 t @gmail.com</t>
  </si>
  <si>
    <t>Plaza  de  deporte  500  norte  30  oeste  600  norte  entrada  mano   derecha  despues   del   puente  3   casa</t>
  </si>
  <si>
    <t>Gerrado  Sanchez</t>
  </si>
  <si>
    <t>Mariela  Brenes   Brenes</t>
  </si>
  <si>
    <t>Dionisa   Sanchez</t>
  </si>
  <si>
    <t>Santiago  Alonso   Sánchez   Brenes</t>
  </si>
  <si>
    <t>Joshua Mauricio Sánchez Brenes</t>
  </si>
  <si>
    <t>Mecánico de Armado de cajas</t>
  </si>
  <si>
    <t>29/09/2003</t>
  </si>
  <si>
    <t>Michael Valverde Nuñez</t>
  </si>
  <si>
    <t>3 años</t>
  </si>
  <si>
    <t>Ayudante de Laminación</t>
  </si>
  <si>
    <t>6 años</t>
  </si>
  <si>
    <t>fabianlacayo05@gmail.com</t>
  </si>
  <si>
    <t>limón Pococí Cariari en carolina del minisúper san pedro 300mts oeste y 500norte</t>
  </si>
  <si>
    <t>operador de pupitre;</t>
  </si>
  <si>
    <t>Elizabeth campos Sojo</t>
  </si>
  <si>
    <t>Leidy Salazar Mora</t>
  </si>
  <si>
    <t>Thiago Alonso Lacayo Salazar</t>
  </si>
  <si>
    <t>Operador de pupitre principal</t>
  </si>
  <si>
    <t>03 julio 2016</t>
  </si>
  <si>
    <t xml:space="preserve">Steven Gutiérrez </t>
  </si>
  <si>
    <t>reponedor de varilla</t>
  </si>
  <si>
    <t xml:space="preserve">2 AÑOS </t>
  </si>
  <si>
    <t xml:space="preserve">GUERO DE LAMINACION </t>
  </si>
  <si>
    <t xml:space="preserve">Ayudante de laminación </t>
  </si>
  <si>
    <t>sergiogomezalvarado@gmail.com</t>
  </si>
  <si>
    <t xml:space="preserve">900 mts sureste de la panaderia ivarody en punta riel de roxana, pococi, limon </t>
  </si>
  <si>
    <t>Grado Técnico</t>
  </si>
  <si>
    <t>ingles</t>
  </si>
  <si>
    <t>Básico</t>
  </si>
  <si>
    <t>Ana Ruth</t>
  </si>
  <si>
    <t>gruero de laminacion</t>
  </si>
  <si>
    <t>28/01/2020</t>
  </si>
  <si>
    <t>michael valverde</t>
  </si>
  <si>
    <t xml:space="preserve">guero de laminacion </t>
  </si>
  <si>
    <t>8 meses</t>
  </si>
  <si>
    <t>CR79010200009434768120</t>
  </si>
  <si>
    <t xml:space="preserve">Alejandro </t>
  </si>
  <si>
    <t>Valenciano Arley</t>
  </si>
  <si>
    <t>avalenciano115@gmail.com</t>
  </si>
  <si>
    <t>100 norte de la escuela Anita Grande mini super la perla color verde</t>
  </si>
  <si>
    <t>Eidy Arley Mena</t>
  </si>
  <si>
    <t>88999778  o 27637471</t>
  </si>
  <si>
    <t>Jose Joaquin Valenciano Montero</t>
  </si>
  <si>
    <t>Eidy Alejandra Valenciano Mendoza</t>
  </si>
  <si>
    <t>Dario Valenciano Leal</t>
  </si>
  <si>
    <t xml:space="preserve">Hornero </t>
  </si>
  <si>
    <t>01/07/2017</t>
  </si>
  <si>
    <t>Horno</t>
  </si>
  <si>
    <t xml:space="preserve">Victor Jimenez </t>
  </si>
  <si>
    <t>Hornero</t>
  </si>
  <si>
    <t>Tres Años y medio</t>
  </si>
  <si>
    <t>cr26010200009301375838</t>
  </si>
  <si>
    <t xml:space="preserve">Héctor </t>
  </si>
  <si>
    <t>Zúñiga Diaz</t>
  </si>
  <si>
    <t>hectorzu1997@gmail.com</t>
  </si>
  <si>
    <t xml:space="preserve">cariar de Pococí barrio las torre de la entrada de la bloquear 500 metros amano izquierda casa color blanca </t>
  </si>
  <si>
    <t>Mecánico de banco;Soldador;Mecánica industrial;</t>
  </si>
  <si>
    <t>Mariana Zúñiga Díaz</t>
  </si>
  <si>
    <t>grauero de laminación</t>
  </si>
  <si>
    <t>9 mese</t>
  </si>
  <si>
    <t>Operador grúa puente (Remota);</t>
  </si>
  <si>
    <t>cr67010200009436971109</t>
  </si>
  <si>
    <t>Michael Antonio</t>
  </si>
  <si>
    <t>Badilla Castrillo</t>
  </si>
  <si>
    <t>maycolbadilla.97@gmail.com</t>
  </si>
  <si>
    <t>barrio el broncon detras de la pulperia la luz . 3 casa  color papaya  mano izquierda ..Roxana pococi limon</t>
  </si>
  <si>
    <t>Martina Badilla Castrillo</t>
  </si>
  <si>
    <t>Unión Libre</t>
  </si>
  <si>
    <t>Yislany Barboza valverde</t>
  </si>
  <si>
    <t xml:space="preserve">Samantha Lucia Badilla Barboza </t>
  </si>
  <si>
    <t>Ayudante Laminacion</t>
  </si>
  <si>
    <t>04.03.2019</t>
  </si>
  <si>
    <t>Steven Gutierres</t>
  </si>
  <si>
    <t xml:space="preserve">Reponedor en evacuacion </t>
  </si>
  <si>
    <t xml:space="preserve">Controlador de mantos </t>
  </si>
  <si>
    <t xml:space="preserve">Ayudante laminacion </t>
  </si>
  <si>
    <t>Bloqueo y etiquetado (Consignación);Espacios confinados;Operador grúa puente (Remota);</t>
  </si>
  <si>
    <t>cr24010200009334094847</t>
  </si>
  <si>
    <t>Stanley</t>
  </si>
  <si>
    <t>Abrahams Moya</t>
  </si>
  <si>
    <t>stanley.moya@arcelormittalcom</t>
  </si>
  <si>
    <t>50 este 200 al sur de la escuela del molino jimenez pococi</t>
  </si>
  <si>
    <t>Soldador;mecánico de tren;</t>
  </si>
  <si>
    <t>ninguno</t>
  </si>
  <si>
    <t>Ana Mirian Moya ulloa</t>
  </si>
  <si>
    <t>Gerardo Abrahams Zuñiga</t>
  </si>
  <si>
    <t>Emilia Lacayo Campos</t>
  </si>
  <si>
    <t>3</t>
  </si>
  <si>
    <t>Bernard Abrahams Gonzalez</t>
  </si>
  <si>
    <t>Iliana Abrahams Lacayo</t>
  </si>
  <si>
    <t>Joseth Abrahams Moya</t>
  </si>
  <si>
    <t>Mecánico de Tren</t>
  </si>
  <si>
    <t>04-09-2008</t>
  </si>
  <si>
    <t>Mantenimiento</t>
  </si>
  <si>
    <t>Mecánico</t>
  </si>
  <si>
    <t xml:space="preserve">Rodrigo Montoya </t>
  </si>
  <si>
    <t>supervisor</t>
  </si>
  <si>
    <t>cr17010200009081299684</t>
  </si>
  <si>
    <t>Roberto</t>
  </si>
  <si>
    <t>Monge Vargas</t>
  </si>
  <si>
    <t>rmonge556@yahoo.com</t>
  </si>
  <si>
    <t>25 metro norte del Super Eleven casa mano derecha. La Rita, Pococí, Limón</t>
  </si>
  <si>
    <t>Mayela Vargas Solano</t>
  </si>
  <si>
    <t>Viviana Monge Mora</t>
  </si>
  <si>
    <t>Marielos de Jesus Monge Monge</t>
  </si>
  <si>
    <t>María Valentina Monge Monge</t>
  </si>
  <si>
    <t>03-09-2003</t>
  </si>
  <si>
    <t>Eléctrico</t>
  </si>
  <si>
    <t>Ricardo Wepoll</t>
  </si>
  <si>
    <t>Electricista tren</t>
  </si>
  <si>
    <t>17años</t>
  </si>
  <si>
    <t xml:space="preserve">Carlos </t>
  </si>
  <si>
    <t>Quirós Badilla</t>
  </si>
  <si>
    <t>quiroscali@gmail.com</t>
  </si>
  <si>
    <t>Jiménez ,guápiles, limón , Sanluis 50mts noroeste de la empacadora tubérculos de costa rica .</t>
  </si>
  <si>
    <t>Electricista Industrial;Electricista Residencial;</t>
  </si>
  <si>
    <t>Intermedio</t>
  </si>
  <si>
    <t>Isabel Badilla Angulo</t>
  </si>
  <si>
    <t>Alejandro Quirós Badilla</t>
  </si>
  <si>
    <t>Yorleni Arias Gamboa</t>
  </si>
  <si>
    <t>Anthony Quirós Arias</t>
  </si>
  <si>
    <t>Eléctrico de tren</t>
  </si>
  <si>
    <t>26 de octubre del 2011</t>
  </si>
  <si>
    <t>Ricardo Wedpold</t>
  </si>
  <si>
    <t>8años</t>
  </si>
  <si>
    <t>Trabajo en alturas;Operador grúa puente (Remota);Bloqueo y etiquetado (Consignación);Espacios confinados;</t>
  </si>
  <si>
    <t xml:space="preserve">Bryan </t>
  </si>
  <si>
    <t>Fonseca Quirós</t>
  </si>
  <si>
    <t>bryanfq.bfq@gmail.com</t>
  </si>
  <si>
    <t>Limón, pococi, guápiles, calle standar, residencial la pradera, 700m norte y75m oeste de oficinas de standar, casa a mano izquierda color papaya.</t>
  </si>
  <si>
    <t>Electricista Residencial;Electricista Industrial;Electrónico;Mecánica industrial;Electromecánico.;</t>
  </si>
  <si>
    <t>Ingles</t>
  </si>
  <si>
    <t>Xinia maría Quirós Vásquez.</t>
  </si>
  <si>
    <t xml:space="preserve">Malvin Fonseca campos. </t>
  </si>
  <si>
    <t xml:space="preserve">Gina Lisbeth Picado Alvarado. </t>
  </si>
  <si>
    <t>Elieth Alvarado</t>
  </si>
  <si>
    <t>Eléctrico de tren.</t>
  </si>
  <si>
    <t>20-06-2016</t>
  </si>
  <si>
    <t xml:space="preserve">Ricardo Wepolt   </t>
  </si>
  <si>
    <t>Mecánico de tren.</t>
  </si>
  <si>
    <t>83010200009275277059</t>
  </si>
  <si>
    <t>Eduardo</t>
  </si>
  <si>
    <t>Ortiz Calvo</t>
  </si>
  <si>
    <t>eortizcalvo@hotmail.com</t>
  </si>
  <si>
    <t>150 mts sur carnicería la parada en Roxana Pococí Limón</t>
  </si>
  <si>
    <t>Carpintero;Soldador;</t>
  </si>
  <si>
    <t>Amable Calvo Araya</t>
  </si>
  <si>
    <t>Jose Francisco ortiz Benavidez</t>
  </si>
  <si>
    <t>Adriana Paniagua Jaen</t>
  </si>
  <si>
    <t>Valentina Ortiz Paniagua</t>
  </si>
  <si>
    <t>Laminador</t>
  </si>
  <si>
    <t>30/06/2006</t>
  </si>
  <si>
    <t>Stiven Gutierrez</t>
  </si>
  <si>
    <t>Empaque y enderezado</t>
  </si>
  <si>
    <t>15 días</t>
  </si>
  <si>
    <t>Reponedor de varilla</t>
  </si>
  <si>
    <t>2 años</t>
  </si>
  <si>
    <t>12 años</t>
  </si>
  <si>
    <t>4745810516474545</t>
  </si>
  <si>
    <t>Argenis</t>
  </si>
  <si>
    <t>Retana Naranjo</t>
  </si>
  <si>
    <t xml:space="preserve">400 oeste del parque la rita </t>
  </si>
  <si>
    <t>Ruth Naranjo Berrocal</t>
  </si>
  <si>
    <t>Johaidy Alvarado Quintana</t>
  </si>
  <si>
    <t>Genesis Retana Alvarado</t>
  </si>
  <si>
    <t>MATIAS Retana Alvarado</t>
  </si>
  <si>
    <t>ayudante de laminacion</t>
  </si>
  <si>
    <t>2 de enero del 2017</t>
  </si>
  <si>
    <t>Victor Jimenez</t>
  </si>
  <si>
    <t>ayudante laminacion</t>
  </si>
  <si>
    <t>3 años imedio</t>
  </si>
  <si>
    <t>Operador grúa puente (Remota);Espacios confinados;Bloqueo y etiquetado (Consignación);Trabajo en alturas;</t>
  </si>
  <si>
    <t>josseven@gmail.com</t>
  </si>
  <si>
    <t>75 m norte de la plaza de deportes de la selva, guácimo, guácimo, limón</t>
  </si>
  <si>
    <t>Facturacion;</t>
  </si>
  <si>
    <t>no</t>
  </si>
  <si>
    <t>maria olivia calvo mena</t>
  </si>
  <si>
    <t>Félix Antonio Gómez Barrantes</t>
  </si>
  <si>
    <t>Giulia Gómez Esquivel</t>
  </si>
  <si>
    <t>facturador</t>
  </si>
  <si>
    <t>01.03.2010</t>
  </si>
  <si>
    <t>Cadena de abastecimiento</t>
  </si>
  <si>
    <t>Logística</t>
  </si>
  <si>
    <t>Despacho</t>
  </si>
  <si>
    <t>David castro mora</t>
  </si>
  <si>
    <t>montacarguista</t>
  </si>
  <si>
    <t>dos años y medio</t>
  </si>
  <si>
    <t xml:space="preserve">gruero de laminacion </t>
  </si>
  <si>
    <t>un año y un mes</t>
  </si>
  <si>
    <t>auxiliar de materia prima</t>
  </si>
  <si>
    <t>5 años</t>
  </si>
  <si>
    <t>Trabajo en alturas;Bloqueo y etiquetado (Consignación);Espacios confinados;Operador grúa puente (Cabina);Operador grúa puente (Remota);Operador de montacargas;</t>
  </si>
  <si>
    <t>CR 1401 0200 0091 0206 9378</t>
  </si>
  <si>
    <t>Luis Angel</t>
  </si>
  <si>
    <t>Berrocal Segura</t>
  </si>
  <si>
    <t>luis22berrocal@gmail.com</t>
  </si>
  <si>
    <t>BODEGUERO;</t>
  </si>
  <si>
    <t>INGLES</t>
  </si>
  <si>
    <t>ANA CRISTINA SEGURA ARIAS</t>
  </si>
  <si>
    <t>LUIS ALBERTO BERROCAL ARIAS</t>
  </si>
  <si>
    <t>MELANY JIMENEZ ALFARO</t>
  </si>
  <si>
    <t>CESAR DANIEL BERROCAL SEGURA</t>
  </si>
  <si>
    <t>AILANY</t>
  </si>
  <si>
    <t>DESPACHADOR</t>
  </si>
  <si>
    <t>04-02-2019</t>
  </si>
  <si>
    <t>DAVID CASTRO MORA</t>
  </si>
  <si>
    <t>AUXILAR DE BODEGA CDA</t>
  </si>
  <si>
    <t>8 MESES</t>
  </si>
  <si>
    <t>AUXILIAR DESPACHO</t>
  </si>
  <si>
    <t>Trabajo en alturas;Bloqueo y etiquetado (Consignación);Operador grúa puente (Cabina);Operador de montacargas;Operador grúa puente (Remota);</t>
  </si>
  <si>
    <t>10200009393137555</t>
  </si>
  <si>
    <t>cr0021485</t>
  </si>
  <si>
    <t xml:space="preserve">Helberth Randall </t>
  </si>
  <si>
    <t>Vega Rodriguez</t>
  </si>
  <si>
    <t>randall.rodriguez@arcelormittal.com</t>
  </si>
  <si>
    <t xml:space="preserve">de la empresa mundimar 500 sur y 50 este </t>
  </si>
  <si>
    <t>encargado de bodega;</t>
  </si>
  <si>
    <t>Carmen Rodriguez Arce</t>
  </si>
  <si>
    <t>Helberth Gerardo Vega Cordero</t>
  </si>
  <si>
    <t xml:space="preserve">Kattia Mejias Benavidez </t>
  </si>
  <si>
    <t>Jilary Paola Vega Mejias</t>
  </si>
  <si>
    <t>keysi Suyen Vega Mejias</t>
  </si>
  <si>
    <t>Valery Monserrat Vega Mejias</t>
  </si>
  <si>
    <t>Encargado de bodega</t>
  </si>
  <si>
    <t>27 de febrero del 2003</t>
  </si>
  <si>
    <t>David Mora Castro</t>
  </si>
  <si>
    <t>ayudante de bodega de despacho</t>
  </si>
  <si>
    <t>despachador y facturador</t>
  </si>
  <si>
    <t>4 años en despachando y 13 años en facturación creo</t>
  </si>
  <si>
    <t>encargado de bodega</t>
  </si>
  <si>
    <t>Trabajo en alturas;Bloqueo y etiquetado (Consignación);Espacios confinados;</t>
  </si>
  <si>
    <t>Diurna</t>
  </si>
  <si>
    <t xml:space="preserve">Emily </t>
  </si>
  <si>
    <t xml:space="preserve">Soto Ortiz </t>
  </si>
  <si>
    <t>Femenino</t>
  </si>
  <si>
    <t xml:space="preserve">Emilysotoortiz72@gmail.com </t>
  </si>
  <si>
    <t xml:space="preserve">Detras del pali, 1km oeste, casa color hueso a mano derecha </t>
  </si>
  <si>
    <t>Metalurgica ;</t>
  </si>
  <si>
    <t xml:space="preserve">ingles </t>
  </si>
  <si>
    <t xml:space="preserve">Martha Ortiz Porras </t>
  </si>
  <si>
    <t xml:space="preserve">Jose Elias Soto Calderon </t>
  </si>
  <si>
    <t xml:space="preserve">Auxiliar de laboratorio </t>
  </si>
  <si>
    <t xml:space="preserve">29 de octubre del 2019 </t>
  </si>
  <si>
    <t>Procesos</t>
  </si>
  <si>
    <t>Laboratorio</t>
  </si>
  <si>
    <t xml:space="preserve">Randall Ruiz Vargas </t>
  </si>
  <si>
    <t>Operador grúa puente (Cabina);</t>
  </si>
  <si>
    <t>juxtin.warin1995@gmail.com</t>
  </si>
  <si>
    <t>frente al 15, la rita, pococi, limon</t>
  </si>
  <si>
    <t>Armador de cajas;</t>
  </si>
  <si>
    <t>veronica ramirez</t>
  </si>
  <si>
    <t>Cheilyn Barboza Blanco</t>
  </si>
  <si>
    <t xml:space="preserve">Snaider Marin </t>
  </si>
  <si>
    <t xml:space="preserve">Dhanae Valentina Marin Aguilar </t>
  </si>
  <si>
    <t xml:space="preserve">Armador de cajas </t>
  </si>
  <si>
    <t>4 abril 2020</t>
  </si>
  <si>
    <t>Gruero</t>
  </si>
  <si>
    <t>año y medio</t>
  </si>
  <si>
    <t xml:space="preserve">ayudante de laminacion </t>
  </si>
  <si>
    <t>armado de caja</t>
  </si>
  <si>
    <t xml:space="preserve">un mes </t>
  </si>
  <si>
    <t>Trabajo en alturas;Bloqueo y etiquetado (Consignación);Operador grúa puente (Remota);</t>
  </si>
  <si>
    <t>cr36010200009301708659</t>
  </si>
  <si>
    <t>Hidalgo Hernández</t>
  </si>
  <si>
    <t>eduardo.hidalgo@arcelormittal.com</t>
  </si>
  <si>
    <t>Guápiles, Pococí, limón</t>
  </si>
  <si>
    <t>comodín;</t>
  </si>
  <si>
    <t>Elibeth Hidalgo</t>
  </si>
  <si>
    <t>Laura Brenes Salazar</t>
  </si>
  <si>
    <t>Sharon Victoria Hidalgo Brenes</t>
  </si>
  <si>
    <t>Randall Ruiz Vargas</t>
  </si>
  <si>
    <t>Auxiliar de Laboratorio</t>
  </si>
  <si>
    <t>10 años aproximadamente</t>
  </si>
  <si>
    <t>Trabajo en alturas;</t>
  </si>
  <si>
    <t>cr53010200009052208930</t>
  </si>
  <si>
    <t>Mena Vargas</t>
  </si>
  <si>
    <t>eduardo.mena@arcelormittal.com</t>
  </si>
  <si>
    <t xml:space="preserve">San Luis  de Anita Grande 50 oeste de planta de tubérculos </t>
  </si>
  <si>
    <t>Virginia Vargas Castro</t>
  </si>
  <si>
    <t>Eladio Mena Aguilar</t>
  </si>
  <si>
    <t xml:space="preserve">Mauricio Mena Vargas </t>
  </si>
  <si>
    <t>Keylor Eduardo Mena Castro</t>
  </si>
  <si>
    <t>Nikol Mena Castro</t>
  </si>
  <si>
    <t>29/07/2008</t>
  </si>
  <si>
    <t>Randall Ruiz</t>
  </si>
  <si>
    <t xml:space="preserve">evacuación </t>
  </si>
  <si>
    <t>4 ,5 años</t>
  </si>
  <si>
    <t xml:space="preserve">auxiliar de bodega </t>
  </si>
  <si>
    <t xml:space="preserve">6 años </t>
  </si>
  <si>
    <t>auxiliar de laboratorio</t>
  </si>
  <si>
    <t xml:space="preserve">1, 5 años </t>
  </si>
  <si>
    <t>Bloqueo y etiquetado (Consignación);Espacios confinados;</t>
  </si>
  <si>
    <t>Jose Pablo</t>
  </si>
  <si>
    <t>Arce Mendez</t>
  </si>
  <si>
    <t>j.pablo.a96@gmail.com</t>
  </si>
  <si>
    <t>Bachiller Educación Media;</t>
  </si>
  <si>
    <t>Cortador de Muestras;</t>
  </si>
  <si>
    <t>avanzado</t>
  </si>
  <si>
    <t>Moraima Arce Mendez</t>
  </si>
  <si>
    <t>Cortador de Muestras</t>
  </si>
  <si>
    <t>6/3/2020</t>
  </si>
  <si>
    <t>CR27010200009303238608</t>
  </si>
  <si>
    <t>Juan Carlos</t>
  </si>
  <si>
    <t>Reyes Mesen</t>
  </si>
  <si>
    <t>jk.reyes@hotmail.com</t>
  </si>
  <si>
    <t>150 metros este del servicentro de La Rita</t>
  </si>
  <si>
    <t>Bachiller Educación Media;Grado Técnico;</t>
  </si>
  <si>
    <t>Zeneida Mesen</t>
  </si>
  <si>
    <t>Gerardo Burgos</t>
  </si>
  <si>
    <t>Arlin Sojo M</t>
  </si>
  <si>
    <t>Rachel Reyes Arce</t>
  </si>
  <si>
    <t>Adriel Reyes Sojo</t>
  </si>
  <si>
    <t>Taller de precisión y guiado</t>
  </si>
  <si>
    <t>Mario Brenes</t>
  </si>
  <si>
    <t>Mecanico CNC</t>
  </si>
  <si>
    <t>13 años</t>
  </si>
  <si>
    <t>Sergio</t>
  </si>
  <si>
    <t>Elizondo Guevara</t>
  </si>
  <si>
    <t>alonso.ge89@gmail.com</t>
  </si>
  <si>
    <t>limon, pococi 450 metros norte de pali jimenez, pococi</t>
  </si>
  <si>
    <t>mecanico de precision;</t>
  </si>
  <si>
    <t>Isabel Guevara Campos</t>
  </si>
  <si>
    <t>Rolando Elizondo Arias</t>
  </si>
  <si>
    <t>Carol Umana Salazar</t>
  </si>
  <si>
    <t>Melody Nahomy Elizondo Umana</t>
  </si>
  <si>
    <t>Mecanico de precision</t>
  </si>
  <si>
    <t>06-09-2016</t>
  </si>
  <si>
    <t>Mario Brenes Morales</t>
  </si>
  <si>
    <t>Alexander</t>
  </si>
  <si>
    <t>Artavia Araya</t>
  </si>
  <si>
    <t>alexguapiles16@gmail.com</t>
  </si>
  <si>
    <t>Barrio la Selva , Guacimo , Limon ,Costa Rica</t>
  </si>
  <si>
    <t>Grado Técnico;</t>
  </si>
  <si>
    <t>Mecanico de Precision;</t>
  </si>
  <si>
    <t>Nicida Araya Alfaro</t>
  </si>
  <si>
    <t>Victor Artavia Conejo</t>
  </si>
  <si>
    <t>Marvin Artavia Araya</t>
  </si>
  <si>
    <t>Alexandra Artavia Salazar</t>
  </si>
  <si>
    <t>Anderson Artavia Salazar</t>
  </si>
  <si>
    <t>Alexander Artavia Salazar</t>
  </si>
  <si>
    <t>Mecanico Corrugadora</t>
  </si>
  <si>
    <t>Mecanico convencional</t>
  </si>
  <si>
    <t>Trabajo en alturas;Operador grúa puente (Remota);</t>
  </si>
  <si>
    <t>930202205</t>
  </si>
  <si>
    <t>calexchavez2891@homail com</t>
  </si>
  <si>
    <t>Anita grande jimenez 800 mt N0rte de la Escuela</t>
  </si>
  <si>
    <t>Escuela Completa;</t>
  </si>
  <si>
    <t>Benita gazo zuñiga</t>
  </si>
  <si>
    <t>Ramiro chavez Martines</t>
  </si>
  <si>
    <t>Arelis Maria Gutierrez Baquero</t>
  </si>
  <si>
    <t>Adrian Kaleth chavez Gutierrez</t>
  </si>
  <si>
    <t>Mecanico guiado</t>
  </si>
  <si>
    <t>Mecanico Guiado</t>
  </si>
  <si>
    <t>3 Años</t>
  </si>
  <si>
    <t>Trabajo en alturas;Bloqueo y etiquetado (Consignación);Espacios confinados;Operador grúa puente (Cabina);</t>
  </si>
  <si>
    <t>Henry</t>
  </si>
  <si>
    <t>Leandro</t>
  </si>
  <si>
    <t>henryleandro1@hotmail.com</t>
  </si>
  <si>
    <t xml:space="preserve">Bella Vista de Guápiles, 1klm al este de la escuela  </t>
  </si>
  <si>
    <t>Electricista Industrial;Mecánica industrial;</t>
  </si>
  <si>
    <t xml:space="preserve">Maira Arias Molina </t>
  </si>
  <si>
    <t xml:space="preserve">Mario Leandro Vargas </t>
  </si>
  <si>
    <t>Rodrigo Montoya</t>
  </si>
  <si>
    <t xml:space="preserve">Mecánico </t>
  </si>
  <si>
    <t>Seis meses</t>
  </si>
  <si>
    <t>cr22010200009440648801</t>
  </si>
  <si>
    <t>Warren</t>
  </si>
  <si>
    <t>Cordero Rios</t>
  </si>
  <si>
    <t>warrencordero104@gmail.com</t>
  </si>
  <si>
    <t>Limon, Pococi, Roxana. 75mtrs oeste antigua ferreteria Lemar Salas.</t>
  </si>
  <si>
    <t>Operador maquinaria de precision por control numerico computarizado(CNC);</t>
  </si>
  <si>
    <t>Yamileth</t>
  </si>
  <si>
    <t>Wagner</t>
  </si>
  <si>
    <t>Operador CNC</t>
  </si>
  <si>
    <t>3 AÑOS</t>
  </si>
  <si>
    <t>Gerson Yoxen</t>
  </si>
  <si>
    <t>Brenes Cubero</t>
  </si>
  <si>
    <t>yoxen.brenes@gmail.com</t>
  </si>
  <si>
    <t>Guapiles, pococi Limon, Palma Dorada Ultima entrada, novena casa a mano derecha.</t>
  </si>
  <si>
    <t>Noveno Aprobado;</t>
  </si>
  <si>
    <t>Maria Virginia Cubero Corrales</t>
  </si>
  <si>
    <t>Jerson Brenes Cordoba</t>
  </si>
  <si>
    <t>Operador de Atadoras y Etiquetado</t>
  </si>
  <si>
    <t>4/03/2019</t>
  </si>
  <si>
    <t>De 5 a 6 meses</t>
  </si>
  <si>
    <t>Bloqueo y etiquetado (Consignación);Operador grúa puente (Remota);</t>
  </si>
  <si>
    <t>Hector Gerardo</t>
  </si>
  <si>
    <t>Umaña Vega</t>
  </si>
  <si>
    <t>khebici@gmail.com</t>
  </si>
  <si>
    <t>Guácimo,Guácimo,Limon. entrada Don durman casa frente curto poste de luz lado izquierdo al fondo una antena de telecomunicaciones,</t>
  </si>
  <si>
    <t>Escuela Completa;Noveno Aprobado;Grado Técnico;</t>
  </si>
  <si>
    <t>Operario C.N.C.;</t>
  </si>
  <si>
    <t>Inglés</t>
  </si>
  <si>
    <t>Melania Vega Cordero</t>
  </si>
  <si>
    <t>William Umaña Carbajal</t>
  </si>
  <si>
    <t>Eddy Umaña Vega, Laura Castro Calvo.</t>
  </si>
  <si>
    <t>Mecanico de Precision, operador C.N.C</t>
  </si>
  <si>
    <t>Operador C.N,C</t>
  </si>
  <si>
    <t>Mecánico convencional</t>
  </si>
  <si>
    <t>Trabajo en alturas;Bloqueo y etiquetado (Consignación);Operador grúa puente (Remota);Espacios confinados;</t>
  </si>
  <si>
    <t>CR36010200009072774206</t>
  </si>
  <si>
    <t>Pérez Obando</t>
  </si>
  <si>
    <t>alan.perez@arcelormittal.com</t>
  </si>
  <si>
    <t>600 metros este y 200 sur del cementerio de Santa María en Rio Jiménez de Guácimo, Limón</t>
  </si>
  <si>
    <t>Ingeniería Industrial ;</t>
  </si>
  <si>
    <t xml:space="preserve">Frances </t>
  </si>
  <si>
    <t xml:space="preserve">María Agustina </t>
  </si>
  <si>
    <t xml:space="preserve">José Laureano </t>
  </si>
  <si>
    <t xml:space="preserve">Fabiana </t>
  </si>
  <si>
    <t>Frank</t>
  </si>
  <si>
    <t>Alan Samuel</t>
  </si>
  <si>
    <t>Auxiliar de Bodega</t>
  </si>
  <si>
    <t>20/11/2009</t>
  </si>
  <si>
    <t>Compras &amp; Bodega</t>
  </si>
  <si>
    <t>Bodega Materiales</t>
  </si>
  <si>
    <t>Luis Diego</t>
  </si>
  <si>
    <t>Supervisor de Compras y Bodega</t>
  </si>
  <si>
    <t>CR96010200009098639049</t>
  </si>
  <si>
    <t>José Gerardo</t>
  </si>
  <si>
    <t>Montero Brenes</t>
  </si>
  <si>
    <t>jose.montero@arcelormittal.com</t>
  </si>
  <si>
    <t>Casa Color celeste mano derecha. 700 metros norte escuela San Luis de Jimnez. Pococi Limon</t>
  </si>
  <si>
    <t>Administrador de empresas;</t>
  </si>
  <si>
    <t>Marta Brenes</t>
  </si>
  <si>
    <t xml:space="preserve">Gerardo Montero </t>
  </si>
  <si>
    <t>Andrea Montero</t>
  </si>
  <si>
    <t>Compras</t>
  </si>
  <si>
    <t>N/A</t>
  </si>
  <si>
    <t>Francisco Solano</t>
  </si>
  <si>
    <t>15 años</t>
  </si>
  <si>
    <t>32010200009051892700</t>
  </si>
  <si>
    <t>Ademir</t>
  </si>
  <si>
    <t>Martínez Solano</t>
  </si>
  <si>
    <t>msolano04@hotmail.com</t>
  </si>
  <si>
    <t>Del Colegio Académico de Jiménez 1,5 KM Este calle vieja hacia Guácimo, casa amarilla verjas negras a mano izquierda.</t>
  </si>
  <si>
    <t>Auxiliar de Bodega.;</t>
  </si>
  <si>
    <t>Inglés básico.</t>
  </si>
  <si>
    <t>Adelaida Solano León</t>
  </si>
  <si>
    <t>Gerardo Martínez Villalobos.</t>
  </si>
  <si>
    <t>Yilena Martínez Solano</t>
  </si>
  <si>
    <t>Auxiliar de Bodega.</t>
  </si>
  <si>
    <t>10 de Junio de 2019</t>
  </si>
  <si>
    <t>Luis Diego Sánchez Ramírez</t>
  </si>
  <si>
    <t>1 año y 4 meses.</t>
  </si>
  <si>
    <t>CR10010200009407455811</t>
  </si>
  <si>
    <t>Rolando</t>
  </si>
  <si>
    <t>Quirós Hernández</t>
  </si>
  <si>
    <t>rolando.rq58@gmail.com</t>
  </si>
  <si>
    <t>Limon,Pococi, Jiménez. Dela iglesia Católica 100 metros al oeste y 150 al sur</t>
  </si>
  <si>
    <t>Auxiliar de bodega;</t>
  </si>
  <si>
    <t>Claudia Hernández Hernández</t>
  </si>
  <si>
    <t>Rolando Quirós Rojas</t>
  </si>
  <si>
    <t>Margarita Morales Mena</t>
  </si>
  <si>
    <t>Hagenn Rolando Quiros Chaves</t>
  </si>
  <si>
    <t>Lyneker Rolando Quirós Chaves</t>
  </si>
  <si>
    <t>Betsy Daniela Quirós Chaves</t>
  </si>
  <si>
    <t>Auxiliar Bodega</t>
  </si>
  <si>
    <t>01 Julio 2002</t>
  </si>
  <si>
    <t>Chofer</t>
  </si>
  <si>
    <t>11 años</t>
  </si>
  <si>
    <t>Bodega materia prima</t>
  </si>
  <si>
    <t>2 años y medio</t>
  </si>
  <si>
    <t>Ayudante de mecánico</t>
  </si>
  <si>
    <t>3 meses</t>
  </si>
  <si>
    <t>cr 52010200009033149127</t>
  </si>
  <si>
    <t>EDDY</t>
  </si>
  <si>
    <t>CRUZ CHICHILLA</t>
  </si>
  <si>
    <t>edchinchilla@arcelormittal.com</t>
  </si>
  <si>
    <t xml:space="preserve">LIMON GUACIMA </t>
  </si>
  <si>
    <t>Escuela Completa;Grado Técnico;</t>
  </si>
  <si>
    <t>GRADODO POR EL INA TENNICO EN MANTANIMIENTO INDUSTRIAL;Carpintero;Soldador;Mecánico de banco;Mecánica industrial;</t>
  </si>
  <si>
    <t xml:space="preserve">Anamaria </t>
  </si>
  <si>
    <t xml:space="preserve">Orlando </t>
  </si>
  <si>
    <t xml:space="preserve">carmen </t>
  </si>
  <si>
    <t>BRALLAN CRUZ RIOS</t>
  </si>
  <si>
    <t>Hacel cruz rios</t>
  </si>
  <si>
    <t>BABI CRUZ RIOS</t>
  </si>
  <si>
    <t xml:space="preserve">Mecanico  y armador decajas y honero </t>
  </si>
  <si>
    <t>16 anos</t>
  </si>
  <si>
    <t>RICARDO Y ARLEN Y MANTOLLO Y MAICOL JUAPUPLO</t>
  </si>
  <si>
    <t>MECANICA Y ARMADOR DE CAJAS Y HONERO</t>
  </si>
  <si>
    <t>14</t>
  </si>
  <si>
    <t>16</t>
  </si>
  <si>
    <t>MECANICO ARMADOR DECAJAS Y H0NERO</t>
  </si>
  <si>
    <t xml:space="preserve">Henry </t>
  </si>
  <si>
    <t>Rojas</t>
  </si>
  <si>
    <t>hrojas1978@gmail.com</t>
  </si>
  <si>
    <t>La Rita, Pococi, Limon, Frente a Liceo La Rita</t>
  </si>
  <si>
    <t>Escuela Completa;Bachiller Educación Media;Noveno Aprobado;Grado Técnico;</t>
  </si>
  <si>
    <t>Ana Maria Porras Lamas</t>
  </si>
  <si>
    <t>No aplica</t>
  </si>
  <si>
    <t>Olider Rojas Alvarez</t>
  </si>
  <si>
    <t>Tamara Muñoz Osorio</t>
  </si>
  <si>
    <t>Ana Rojas</t>
  </si>
  <si>
    <t>Sofia Rojas Bejarano</t>
  </si>
  <si>
    <t>Henry Julian Rojas Muñoz</t>
  </si>
  <si>
    <t>Electricista de Mantenimiento</t>
  </si>
  <si>
    <t>04/03/2019</t>
  </si>
  <si>
    <t>Ricardo Wepolt</t>
  </si>
  <si>
    <t>1 año 6 meses.</t>
  </si>
  <si>
    <t>CR74010200009293214461</t>
  </si>
  <si>
    <t>Leonardo</t>
  </si>
  <si>
    <t xml:space="preserve">Wepolt Rojas </t>
  </si>
  <si>
    <t>wepolthl@gmail.com</t>
  </si>
  <si>
    <t xml:space="preserve">900 metro este bar big boy San Luis de Jiménez </t>
  </si>
  <si>
    <t>operario industrial;</t>
  </si>
  <si>
    <t>Zeneyda Rojas Godoy</t>
  </si>
  <si>
    <t xml:space="preserve">Carlos Wepolt Guillen </t>
  </si>
  <si>
    <t xml:space="preserve">Luren Monge Valenciano </t>
  </si>
  <si>
    <t xml:space="preserve">Dylan Wepolt Monge </t>
  </si>
  <si>
    <t xml:space="preserve">Operario planta de aguas </t>
  </si>
  <si>
    <t>11-09-2006</t>
  </si>
  <si>
    <t>Ricardo Wepold</t>
  </si>
  <si>
    <t xml:space="preserve">operario planta de aguas </t>
  </si>
  <si>
    <t xml:space="preserve">11 años </t>
  </si>
  <si>
    <t>Trabajo en alturas;Espacios confinados;Operador grúa puente (Remota);</t>
  </si>
  <si>
    <t>Raynier</t>
  </si>
  <si>
    <t>Fernandez Aguilar</t>
  </si>
  <si>
    <t>raynier.fernandez@gmail.com</t>
  </si>
  <si>
    <t xml:space="preserve">Limón, Guapiles, Jiménez, 25 mts este de la delegación de Jiménez, lado derecho, portón negro </t>
  </si>
  <si>
    <t>Mecatrónico;Electrónico;</t>
  </si>
  <si>
    <t>Ermida</t>
  </si>
  <si>
    <t xml:space="preserve"> </t>
  </si>
  <si>
    <t xml:space="preserve">Operador de planta de aguas industriales en el departamento de mantenimiento mecánico y mecánico </t>
  </si>
  <si>
    <t>10_12_2019</t>
  </si>
  <si>
    <t>Ricardo Wepolt, Arlen Guillen y Rodrigo Montoya</t>
  </si>
  <si>
    <t>Operador de planta de aguas industriales</t>
  </si>
  <si>
    <t>9 meses</t>
  </si>
  <si>
    <t>Adonay Antonio</t>
  </si>
  <si>
    <t>Solano Romero</t>
  </si>
  <si>
    <t>Adonaysolano839@gmail.com</t>
  </si>
  <si>
    <t>Guapiles,Pococi,Limon,Calle Uno, Jimenez,del rio Santa Clara 800 Norte</t>
  </si>
  <si>
    <t>Escuela Completa;Bachiller Educación Media;Grado Técnico;</t>
  </si>
  <si>
    <t>Claudia Romero Espinoza</t>
  </si>
  <si>
    <t>Adonay Solano Umaña</t>
  </si>
  <si>
    <t xml:space="preserve">Ana Solano </t>
  </si>
  <si>
    <t>Melanie Solano Cruz</t>
  </si>
  <si>
    <t>Operador Planta de Aguas</t>
  </si>
  <si>
    <t>01 03 2003</t>
  </si>
  <si>
    <t>Ricardo Wepolh</t>
  </si>
  <si>
    <t>Operador Atadoras</t>
  </si>
  <si>
    <t>5 Años</t>
  </si>
  <si>
    <t>Operador PTAI</t>
  </si>
  <si>
    <t>12 Años</t>
  </si>
  <si>
    <t>Luis</t>
  </si>
  <si>
    <t xml:space="preserve">Solano Solórzano </t>
  </si>
  <si>
    <t>luisgss11@hotmail.com</t>
  </si>
  <si>
    <t xml:space="preserve">300 metros este del Colegio Académico de Jiménez, casa mano izquierda color café claro. </t>
  </si>
  <si>
    <t>Licenciatura;</t>
  </si>
  <si>
    <t xml:space="preserve">Cruz Solórzano Ayala </t>
  </si>
  <si>
    <t xml:space="preserve">Claudio Solano León </t>
  </si>
  <si>
    <t xml:space="preserve">Auxiliar de bodega materia prima </t>
  </si>
  <si>
    <t>01/08/2011</t>
  </si>
  <si>
    <t>Materia Prima</t>
  </si>
  <si>
    <t xml:space="preserve">Michael Rojas </t>
  </si>
  <si>
    <t xml:space="preserve">Auxiliar bodega de despacho </t>
  </si>
  <si>
    <t xml:space="preserve">8 años </t>
  </si>
  <si>
    <t>Auxiliar de materia prima</t>
  </si>
  <si>
    <t xml:space="preserve">1 año y 2 meses </t>
  </si>
  <si>
    <t>Freyman Manuel</t>
  </si>
  <si>
    <t>Montero Arguedas.</t>
  </si>
  <si>
    <t>freyman12311@gmail.com</t>
  </si>
  <si>
    <t>250 Sur Bar EL Trapiche, Suerre de Jimenez-Pococi-LImon.</t>
  </si>
  <si>
    <t>Escuela Completa;Noveno Aprobado;Bachiller Educación Media;</t>
  </si>
  <si>
    <t>Operador industrial.;</t>
  </si>
  <si>
    <t>Ana Elieth Arguedas Rivera.</t>
  </si>
  <si>
    <t>Manuel Angel Montero Castillo.</t>
  </si>
  <si>
    <t>Maria Alejandra Soto Mora.</t>
  </si>
  <si>
    <t>Yailyn Francinie Montero Arguedas.</t>
  </si>
  <si>
    <t>Hendersson Madrigal Soto.</t>
  </si>
  <si>
    <t>Jimena Dayanne Montero Soto.</t>
  </si>
  <si>
    <t>Auxiliar Materia Prima.</t>
  </si>
  <si>
    <t>14/10/2011.</t>
  </si>
  <si>
    <t>Michael Rojas Quesada.</t>
  </si>
  <si>
    <t>Reponedor de Varillas.</t>
  </si>
  <si>
    <t>1.5 años.</t>
  </si>
  <si>
    <t>Cortador de muestras.</t>
  </si>
  <si>
    <t>Encargado de Personal- Area de Evacuacion.</t>
  </si>
  <si>
    <t>2 años.</t>
  </si>
  <si>
    <t xml:space="preserve">ANGEL EMILIO  </t>
  </si>
  <si>
    <t>emilio.lopez1971@hotmail.com</t>
  </si>
  <si>
    <t xml:space="preserve">barrio la trinidad roxana guapiles pococi limon   </t>
  </si>
  <si>
    <t>operador industrial gruas aereas ;</t>
  </si>
  <si>
    <t>NASARIA GUTIERREZ VALENCIA</t>
  </si>
  <si>
    <t>EUGENIO LOPEZ LOPEZ</t>
  </si>
  <si>
    <t>KATHYA ARIAS ROJAS</t>
  </si>
  <si>
    <t>KAROL JULICSA LOPEZ ARIAS</t>
  </si>
  <si>
    <t>ADIEL EMILIO LOPEZ ARIAS</t>
  </si>
  <si>
    <t xml:space="preserve">MICHAEL ROJAS QUESADA </t>
  </si>
  <si>
    <t xml:space="preserve">GRUERO DE MATRIA PRIMA </t>
  </si>
  <si>
    <t xml:space="preserve">16 AÑOS </t>
  </si>
  <si>
    <t>Trabajo en alturas;Bloqueo y etiquetado (Consignación);Espacios confinados;Operador grúa puente (Cabina);Operador grúa puente (Remota);</t>
  </si>
  <si>
    <t xml:space="preserve">Johnny </t>
  </si>
  <si>
    <t>Rojas Araya</t>
  </si>
  <si>
    <t>700 sur bomba m y s calle suerez casa mano derecha jimenez pococi limon</t>
  </si>
  <si>
    <t>Ana lucia Araya morales</t>
  </si>
  <si>
    <t>Juan Rodrigo Rojas Castro</t>
  </si>
  <si>
    <t>Maria Mayela Miranda Solis</t>
  </si>
  <si>
    <t>Hermanos</t>
  </si>
  <si>
    <t xml:space="preserve">Mariana Rojas Miranda </t>
  </si>
  <si>
    <t>Viviana Rojas Miranda</t>
  </si>
  <si>
    <t>Roxana Rojas Miranda</t>
  </si>
  <si>
    <t>Operario TI4</t>
  </si>
  <si>
    <t>10 del 01 2002</t>
  </si>
  <si>
    <t>Stiven Gutierres</t>
  </si>
  <si>
    <t>Operario TI 4</t>
  </si>
  <si>
    <t>16 años</t>
  </si>
  <si>
    <t>cr89010200009030500943</t>
  </si>
  <si>
    <t>Gilmar Gerardo</t>
  </si>
  <si>
    <t>Sandoval Murillo</t>
  </si>
  <si>
    <t>gilmarsandoval7@gmail.com</t>
  </si>
  <si>
    <t>guacimo, guacimo, limon</t>
  </si>
  <si>
    <t>Operador;</t>
  </si>
  <si>
    <t>Teresa murillo Trejos</t>
  </si>
  <si>
    <t>8641-0886</t>
  </si>
  <si>
    <t>Gilmar Sandoval Moya</t>
  </si>
  <si>
    <t>Carolina Garro Espinoza</t>
  </si>
  <si>
    <t>Mathias Sandoval Garro</t>
  </si>
  <si>
    <t>Auxiliar de bodega</t>
  </si>
  <si>
    <t>02-07-2018</t>
  </si>
  <si>
    <t>Ventas</t>
  </si>
  <si>
    <t>CDA</t>
  </si>
  <si>
    <t>David Castro Mora</t>
  </si>
  <si>
    <t>Trabajo en alturas;Operador grúa puente (Remota);Operador de montacargas;</t>
  </si>
  <si>
    <t>CR-8601-0200-0093-4321-4641</t>
  </si>
  <si>
    <t>Adrian</t>
  </si>
  <si>
    <t>Villegas Leon</t>
  </si>
  <si>
    <t>adri.v.l34@gmail.com</t>
  </si>
  <si>
    <t>Barrio la Trinidad, Roxana, Guapiles, Limon</t>
  </si>
  <si>
    <t>No</t>
  </si>
  <si>
    <t>Lilliam Leon Perez</t>
  </si>
  <si>
    <t>Alexis Villegas Nuñez</t>
  </si>
  <si>
    <t>Yirlani Solano Jaen</t>
  </si>
  <si>
    <t>Primero en estado de gestación</t>
  </si>
  <si>
    <t>04-03-2019</t>
  </si>
  <si>
    <t>David Castro</t>
  </si>
  <si>
    <t xml:space="preserve">Víctor Joseph </t>
  </si>
  <si>
    <t>Chinchilla Sanchez</t>
  </si>
  <si>
    <t>victorchinchilla05@gmail.com</t>
  </si>
  <si>
    <t>Limon,Pococi,Jimenez 500 mts norte escuela Suerre 250 oeste casa blanca ,mano izq</t>
  </si>
  <si>
    <t>Operario de bodega;</t>
  </si>
  <si>
    <t>NO</t>
  </si>
  <si>
    <t>Kattia Vanessa Sánchez Solano</t>
  </si>
  <si>
    <t xml:space="preserve">Víctor Hugo Chinchilla Sánchez   </t>
  </si>
  <si>
    <t>Alejandra Fernández Campos</t>
  </si>
  <si>
    <t>Geovanni Chinchilla Mora</t>
  </si>
  <si>
    <t>Victoria Chinchilla Fernandez</t>
  </si>
  <si>
    <t>Operario de bodega</t>
  </si>
  <si>
    <t>2/7/18</t>
  </si>
  <si>
    <t xml:space="preserve">Operario de bodega </t>
  </si>
  <si>
    <t>Trabajo en alturas;Bloqueo y etiquetado (Consignación);Operador grúa puente (Cabina);Operador grúa puente (Remota);Operador de montacargas;</t>
  </si>
  <si>
    <t>4745813916776584</t>
  </si>
  <si>
    <t xml:space="preserve">Ramsés </t>
  </si>
  <si>
    <t>Jiménez Salas</t>
  </si>
  <si>
    <t>ramsesj71@gmail.com</t>
  </si>
  <si>
    <t>urbanización la Hilda ,calle #5, quinta casa a mano izquierda color azul.</t>
  </si>
  <si>
    <t>Isabel Salas Castro</t>
  </si>
  <si>
    <t>Danilo Jiménez Cerdas</t>
  </si>
  <si>
    <t>Mecánico de mantenimiento</t>
  </si>
  <si>
    <t>Enero/2017 (ASEAM) - marzo/2019-actualidad(AMCR)</t>
  </si>
  <si>
    <t xml:space="preserve">Ricardo Wepold </t>
  </si>
  <si>
    <t>verificador de mantos</t>
  </si>
  <si>
    <t xml:space="preserve">mecánico de mantenimiento </t>
  </si>
  <si>
    <t xml:space="preserve">3 años </t>
  </si>
  <si>
    <t xml:space="preserve">Ricardo </t>
  </si>
  <si>
    <t>Wepold Rojas</t>
  </si>
  <si>
    <t>ricardo.wepold@arcelormittal.com</t>
  </si>
  <si>
    <t>Urb El Encanto 3 casa #130 Guácimo limón</t>
  </si>
  <si>
    <t>Maribel Rojas Godoy</t>
  </si>
  <si>
    <t>Marvin Wepold Guillen</t>
  </si>
  <si>
    <t>Candy Sosa Quiros</t>
  </si>
  <si>
    <t>Mayron Wepold Sosa</t>
  </si>
  <si>
    <t>Supervisor Mantenimiento</t>
  </si>
  <si>
    <t>30/11/2006</t>
  </si>
  <si>
    <t>Juan Pablo Vargas</t>
  </si>
  <si>
    <t>cr81010200009062615168</t>
  </si>
  <si>
    <t xml:space="preserve">Jose Guillermo </t>
  </si>
  <si>
    <t>Rosales Murillo</t>
  </si>
  <si>
    <t>distrito Horquetas canton Sarapiqui provincia Heredia lugar barrio la esperanza puerto viejo de sarapiqui</t>
  </si>
  <si>
    <t>Soldador;Laminador;</t>
  </si>
  <si>
    <t>Orfilia Murillo Urbina</t>
  </si>
  <si>
    <t xml:space="preserve">Jose Guillermo Rosales </t>
  </si>
  <si>
    <t>Gladys Flores Flores</t>
  </si>
  <si>
    <t>Laxira Flores Flores</t>
  </si>
  <si>
    <t>Meylin Jasmin RosalesSalazar</t>
  </si>
  <si>
    <t>Marelin Saleyscha Rosales Calderon</t>
  </si>
  <si>
    <t>Santiago Jose Rosales Flores</t>
  </si>
  <si>
    <t>05 09 2008</t>
  </si>
  <si>
    <t>mecanico de guias</t>
  </si>
  <si>
    <t>4 años</t>
  </si>
  <si>
    <t>armador de cajas</t>
  </si>
  <si>
    <t xml:space="preserve">4 años </t>
  </si>
  <si>
    <t>laminador</t>
  </si>
  <si>
    <t>5 años llevo</t>
  </si>
  <si>
    <t>Miguel</t>
  </si>
  <si>
    <t>Wepolth Serrano</t>
  </si>
  <si>
    <t>mwepotl@gmail.com</t>
  </si>
  <si>
    <t xml:space="preserve">San Luis de Jimenez 1 kilometro al norte del super doble A .Jimenez Pococi Limon </t>
  </si>
  <si>
    <t>Operario de Grua ;</t>
  </si>
  <si>
    <t xml:space="preserve">Jeanneh Serrano Chacon </t>
  </si>
  <si>
    <t xml:space="preserve">Gladys Jimenez Chavarria </t>
  </si>
  <si>
    <t xml:space="preserve">Ashy Jimenez </t>
  </si>
  <si>
    <t xml:space="preserve">Antonni Jimenez </t>
  </si>
  <si>
    <t xml:space="preserve">Operario de Grua </t>
  </si>
  <si>
    <t xml:space="preserve">Dos años y tres meses </t>
  </si>
  <si>
    <t xml:space="preserve">Empacador de Perfiles </t>
  </si>
  <si>
    <t xml:space="preserve">Cuatro años </t>
  </si>
  <si>
    <t>Trabajo en alturas;Operador grúa puente (Cabina);</t>
  </si>
  <si>
    <t>Michael  Loaiza</t>
  </si>
  <si>
    <t>Cruz</t>
  </si>
  <si>
    <t>loaizacruzmichael@gmail.com</t>
  </si>
  <si>
    <t>Limón, Guácimo, Guácimo los Geranios de la escuela 600 metros a mano derecho portón verde</t>
  </si>
  <si>
    <t>Estibador;</t>
  </si>
  <si>
    <t>Eida Cruz Chinchilla</t>
  </si>
  <si>
    <t>Martin Loaiza Esquivel</t>
  </si>
  <si>
    <t>Mari lu Castillo Chacon</t>
  </si>
  <si>
    <t xml:space="preserve">Jesus Castillo </t>
  </si>
  <si>
    <t>Niriel Loaiza Castillo</t>
  </si>
  <si>
    <t>Fabiana Loaiza Castillo</t>
  </si>
  <si>
    <t>Estivador</t>
  </si>
  <si>
    <t>23 09 2019</t>
  </si>
  <si>
    <t>Saldero</t>
  </si>
  <si>
    <t>1 año 3 meses</t>
  </si>
  <si>
    <t>Bloqueo y etiquetado (Consignación);</t>
  </si>
  <si>
    <t>CR 25010200009406827272</t>
  </si>
  <si>
    <t>jl374252@gmail.com</t>
  </si>
  <si>
    <t>punta riel de roxana pococi limon</t>
  </si>
  <si>
    <t>saldero;</t>
  </si>
  <si>
    <t>español</t>
  </si>
  <si>
    <t>mayra lopez sanchez</t>
  </si>
  <si>
    <t>505 89813096</t>
  </si>
  <si>
    <t>alvino miranda lopez</t>
  </si>
  <si>
    <t>yajaira guido</t>
  </si>
  <si>
    <t>saldero de despacho</t>
  </si>
  <si>
    <t>06-08-2020</t>
  </si>
  <si>
    <t>david castro mora</t>
  </si>
  <si>
    <t>saldero</t>
  </si>
  <si>
    <t>2 meses 3 dias</t>
  </si>
  <si>
    <t>10200009427353335</t>
  </si>
  <si>
    <t>marvinarias587@gmail.com</t>
  </si>
  <si>
    <t>Pococi Jimenez kilometro docientos al norte cruce de linea ferrocaril anita grande</t>
  </si>
  <si>
    <t>Operador de gruas;</t>
  </si>
  <si>
    <t>Blanca Rosa Mendez Chinchilla</t>
  </si>
  <si>
    <t>Bienvenido Arias Chinchilla</t>
  </si>
  <si>
    <t>Rosa Adriana Alfaro Valverde</t>
  </si>
  <si>
    <t>Marvin josias arias perez</t>
  </si>
  <si>
    <t>Melin arias perez</t>
  </si>
  <si>
    <t>Michelle arias perez</t>
  </si>
  <si>
    <t>Josue Kalet arias alfaro</t>
  </si>
  <si>
    <t>Operador grua</t>
  </si>
  <si>
    <t>20 /8 /2002</t>
  </si>
  <si>
    <t>Asistente materia primado</t>
  </si>
  <si>
    <t>dos anos</t>
  </si>
  <si>
    <t>grua laminacion</t>
  </si>
  <si>
    <t>1 ano</t>
  </si>
  <si>
    <t>grua despacho</t>
  </si>
  <si>
    <t>15 anos</t>
  </si>
  <si>
    <t>Operador grúa puente (Cabina);Operador grúa puente (Remota);Trabajo en alturas;Espacios confinados;Bloqueo y etiquetado (Consignación);</t>
  </si>
  <si>
    <t>Javier Gerardo</t>
  </si>
  <si>
    <t>Arce Méndez</t>
  </si>
  <si>
    <t>arcejavier44@gmail.com</t>
  </si>
  <si>
    <t>50 metros al norte del bar Bic Boy san Luis, Jiménez, Pococí, Limón</t>
  </si>
  <si>
    <t>Escuela Completa;Noveno Aprobado;Bachiller Educación Media;Grado Técnico;</t>
  </si>
  <si>
    <t>Ligia Méndez Ulloa</t>
  </si>
  <si>
    <t>Javier Arce Miranda</t>
  </si>
  <si>
    <t>Gina Briceida Sanchez Perez</t>
  </si>
  <si>
    <t>Sharlyn Tatiana Arce Sánchez</t>
  </si>
  <si>
    <t>Sharon Dayana Arce Sanchez</t>
  </si>
  <si>
    <t xml:space="preserve">Mecánico de tren </t>
  </si>
  <si>
    <t>07-08-2002</t>
  </si>
  <si>
    <t>Rodrigo Montoya Valverde</t>
  </si>
  <si>
    <t>Mecánico de tren</t>
  </si>
  <si>
    <t>18 años</t>
  </si>
  <si>
    <t xml:space="preserve">Josimar </t>
  </si>
  <si>
    <t>Mairena Martinez</t>
  </si>
  <si>
    <t>josi506cr@gmail.com</t>
  </si>
  <si>
    <t>Barrio la trinidad de Roxana de la panaderia Ivarody 800 metros este y 600 norte casa  verde a mano izquierda.</t>
  </si>
  <si>
    <t>Maria Ruth Martinez Noguera</t>
  </si>
  <si>
    <t>Carlos Alfonso Mairena Moraga</t>
  </si>
  <si>
    <t>Maritza Moya Paniagua</t>
  </si>
  <si>
    <t>Nashly Adelaine Mairena Moya</t>
  </si>
  <si>
    <t>Gruero de Materia Prima</t>
  </si>
  <si>
    <t>Marzo del 2019</t>
  </si>
  <si>
    <t>Michael Rojas Quesada</t>
  </si>
  <si>
    <t xml:space="preserve">1 año y 7 meses </t>
  </si>
  <si>
    <t>CR 35010200009205719320</t>
  </si>
  <si>
    <t>Jairo  cr1981 agemi,.con</t>
  </si>
  <si>
    <t xml:space="preserve">sanluiz  anita grande frente tuverculo  CR JIMENES  pococi  limon </t>
  </si>
  <si>
    <t>operario;</t>
  </si>
  <si>
    <t xml:space="preserve">Francisca  LOPEZ  JUAREZ </t>
  </si>
  <si>
    <t>JACINTO  SANCHEZ   SANCHEZ</t>
  </si>
  <si>
    <t>MARIA   ELENA RAMIRES  CHAVARIA</t>
  </si>
  <si>
    <t>ERMANOS</t>
  </si>
  <si>
    <t>GAUDY  NAYELI   SANCHEZ  RAMIRES</t>
  </si>
  <si>
    <t>comodin</t>
  </si>
  <si>
    <t>25  7  2007</t>
  </si>
  <si>
    <t>ESTIBEN  GUTIERES</t>
  </si>
  <si>
    <t>COMODIN</t>
  </si>
  <si>
    <t>5  AÑOS</t>
  </si>
  <si>
    <t>BAC  SANJOSE</t>
  </si>
  <si>
    <t>HANS ARTURO</t>
  </si>
  <si>
    <t>Ramirez Parajeles</t>
  </si>
  <si>
    <t>hansrp18@gmail.com</t>
  </si>
  <si>
    <t>300m sur de la iglesia catolica de anita grande mano derecha casa verde  jiménez de pococí limón</t>
  </si>
  <si>
    <t>corte de muestras ;</t>
  </si>
  <si>
    <t>Marvin whirlpool</t>
  </si>
  <si>
    <t>CORTE DE MUESTRAS</t>
  </si>
  <si>
    <t>8/9/2019</t>
  </si>
  <si>
    <t>RANDAL RUIZ</t>
  </si>
  <si>
    <t>Alexis Vinicio</t>
  </si>
  <si>
    <t>Solano campos</t>
  </si>
  <si>
    <t>alexsol2010@hotmail.es</t>
  </si>
  <si>
    <t>Roxana 300 metros sur mini super la parada</t>
  </si>
  <si>
    <t>Mara Campos Ortega</t>
  </si>
  <si>
    <t>Juan José Solano Masis</t>
  </si>
  <si>
    <t>Dennis Roberto Solano Campos</t>
  </si>
  <si>
    <t>Operador T4</t>
  </si>
  <si>
    <t>Operador t4</t>
  </si>
  <si>
    <t>10 años</t>
  </si>
  <si>
    <t xml:space="preserve">Maikel </t>
  </si>
  <si>
    <t>Cruz Ramirez</t>
  </si>
  <si>
    <t>Maikelcruz97@gmail.com</t>
  </si>
  <si>
    <t>Guacimo Limon Los Geranios , Urbanización el encanta casa 112</t>
  </si>
  <si>
    <t>Operador de Planta;</t>
  </si>
  <si>
    <t>Kathia Ramirez Jimenez</t>
  </si>
  <si>
    <t>Rafael Gerardo Cruz Villalobos</t>
  </si>
  <si>
    <t>Marilin Cruz Ramirez</t>
  </si>
  <si>
    <t>Operador de T-4</t>
  </si>
  <si>
    <t>04-03-19</t>
  </si>
  <si>
    <t>Trabajo en alturas;Bloqueo y etiquetado (Consignación);Espacios confinados;Operador grúa puente (Remota);Operador de montacargas;</t>
  </si>
  <si>
    <t>Jefferson Alfonso</t>
  </si>
  <si>
    <t>Medrano Berrocal</t>
  </si>
  <si>
    <t>jeffmedrano97@gmail.com</t>
  </si>
  <si>
    <t>Roxana, Pococi, Limon, del centro de roxana ruta al humo 300 metros, a la derecha casa blanca.</t>
  </si>
  <si>
    <t>Operador de atadoras y etiquetado.;</t>
  </si>
  <si>
    <t>Elizabeth Berrocal Castro.</t>
  </si>
  <si>
    <t>Gerardo Medrano Sibaja</t>
  </si>
  <si>
    <t>Lisseth Hurtado Molina</t>
  </si>
  <si>
    <t>Cristhian Berrocal Castro</t>
  </si>
  <si>
    <t>Operador de atadoras y etiquetado.</t>
  </si>
  <si>
    <t xml:space="preserve">Operador de atadoras </t>
  </si>
  <si>
    <t>Mas de 2 años.</t>
  </si>
  <si>
    <t>Mas de 6 meses.</t>
  </si>
  <si>
    <t>Jairo</t>
  </si>
  <si>
    <t>Vargas Montoya</t>
  </si>
  <si>
    <t>jv8341133</t>
  </si>
  <si>
    <t>ROXANA, LA TRINIDAD 800 mts norte de panaderia IVARODI</t>
  </si>
  <si>
    <t>Angela Isabel Montoya Barrantes</t>
  </si>
  <si>
    <t>Francisco Vargas Solano</t>
  </si>
  <si>
    <t>Sheiner Parra Chavarria</t>
  </si>
  <si>
    <t>Jonnathan Vargas Montoya</t>
  </si>
  <si>
    <t>Itzel Yareli Vargas Parra</t>
  </si>
  <si>
    <t>Gruero Despacho</t>
  </si>
  <si>
    <t>12 Abril 2019</t>
  </si>
  <si>
    <t xml:space="preserve">David Castro </t>
  </si>
  <si>
    <t>Operador de grua puente</t>
  </si>
  <si>
    <t>año y seis meses</t>
  </si>
  <si>
    <t>43010200009175466816</t>
  </si>
  <si>
    <t>Andrew</t>
  </si>
  <si>
    <t>Castillo Vega</t>
  </si>
  <si>
    <t>andrewcastillo667@gmail.com</t>
  </si>
  <si>
    <t xml:space="preserve">Detrás del Colegio Valle del Sol casa color verde Calle del Tablón Guápiles, Pococí, Limón   </t>
  </si>
  <si>
    <t>Rocio Vega Godinez</t>
  </si>
  <si>
    <t>Auxiliar de Bodega y Saldero</t>
  </si>
  <si>
    <t>23/09/2020</t>
  </si>
  <si>
    <t>Diego y David</t>
  </si>
  <si>
    <t>2 semanas</t>
  </si>
  <si>
    <t>CR49010200009452911443</t>
  </si>
  <si>
    <t>900 metros norte anita grande de jimenes de pococi de limon</t>
  </si>
  <si>
    <t>muestrero;</t>
  </si>
  <si>
    <t>espani</t>
  </si>
  <si>
    <t>Seidy mendes salas</t>
  </si>
  <si>
    <t>Jose  Juaquin arce garita</t>
  </si>
  <si>
    <t>jaquelin espinoza martines</t>
  </si>
  <si>
    <t>vilma arce mendez</t>
  </si>
  <si>
    <t>Indra espinoza martines</t>
  </si>
  <si>
    <t>KENDALL espinoza martines</t>
  </si>
  <si>
    <t>cortador de muestra</t>
  </si>
  <si>
    <t>el 14 de marzo de 2002</t>
  </si>
  <si>
    <t>Randall ruiz</t>
  </si>
  <si>
    <t>TRES  meses</t>
  </si>
  <si>
    <t xml:space="preserve">Rojairo </t>
  </si>
  <si>
    <t>100 al este abastecedor gamboa  jimenez pococi limon</t>
  </si>
  <si>
    <t>Mecánica industrial;operador de mantos;</t>
  </si>
  <si>
    <t>maria jimenez romero</t>
  </si>
  <si>
    <t>marcos leon villegas</t>
  </si>
  <si>
    <t>yajaira vargas moraga</t>
  </si>
  <si>
    <t>marco tulio leon jimenez</t>
  </si>
  <si>
    <t>Brandon stuar leon chaves</t>
  </si>
  <si>
    <t>Bianca leon chaves</t>
  </si>
  <si>
    <t>makenzie leon vargas</t>
  </si>
  <si>
    <t>operador de mantos</t>
  </si>
  <si>
    <t>8 de setiembre 2020</t>
  </si>
  <si>
    <t>stiven gutierres</t>
  </si>
  <si>
    <t>Trabajo en alturas;Bloqueo y etiquetado (Consignación);</t>
  </si>
  <si>
    <t>de la escuela de anita grande de un kiilometro y medio mono  izquieda  jimenes de pococi</t>
  </si>
  <si>
    <t>operario de gruasespa;</t>
  </si>
  <si>
    <t>españo</t>
  </si>
  <si>
    <t>azalia maria piñar piñar27</t>
  </si>
  <si>
    <t>mi hermana magali sachez obando</t>
  </si>
  <si>
    <t>daniela obando mena yisabelaobado mena</t>
  </si>
  <si>
    <t>daniela</t>
  </si>
  <si>
    <t>gruero de logistica</t>
  </si>
  <si>
    <t>12 de marzo 203</t>
  </si>
  <si>
    <t>dabi castrojefe</t>
  </si>
  <si>
    <t>jefe despacho3</t>
  </si>
  <si>
    <t>4años</t>
  </si>
  <si>
    <t>jimenez pococi limon 500 mts estede la escuela san martin casa color papaya mano derecha</t>
  </si>
  <si>
    <t>angela judit moraga solis</t>
  </si>
  <si>
    <t>eladio vargas nunes</t>
  </si>
  <si>
    <t>ruby matarrita araya</t>
  </si>
  <si>
    <t>yecksuel vargas montiel</t>
  </si>
  <si>
    <t>david castro</t>
  </si>
  <si>
    <t>jefe de lojistica</t>
  </si>
  <si>
    <t>Trabajo en alturas;Espacios confinados;</t>
  </si>
  <si>
    <t>cr0099021717</t>
  </si>
  <si>
    <t>Gonzalez Larrad</t>
  </si>
  <si>
    <t>roberto.gonzales@arcelormittal.com</t>
  </si>
  <si>
    <t>Guapiles,Limon, Barrio El Cacaco, de la entrada principal del aeropuerto 250 mts sur, casa tapia color verde a mano derecha</t>
  </si>
  <si>
    <t>ingeniero quimico;</t>
  </si>
  <si>
    <t>Maria Elena Larrad Antillon</t>
  </si>
  <si>
    <t>difunta</t>
  </si>
  <si>
    <t>Roberto Gonzalez Frias</t>
  </si>
  <si>
    <t>Kattia Roldan Morales</t>
  </si>
  <si>
    <t>Maria Elena Gonzalez Larrad</t>
  </si>
  <si>
    <t>Fernan Gonzalez Roldan</t>
  </si>
  <si>
    <t>Programador de Produccion</t>
  </si>
  <si>
    <t>11/05/2002</t>
  </si>
  <si>
    <t>Gerente de Produccion</t>
  </si>
  <si>
    <t>cr34010200009032105731</t>
  </si>
  <si>
    <t xml:space="preserve">Jeihny </t>
  </si>
  <si>
    <t>Picado Pérez</t>
  </si>
  <si>
    <t>jeihny.mp.perez@arcelormittal.com</t>
  </si>
  <si>
    <t>De la panadería la Esquina del Café 250 Este y 25 Norte, casa color amarillo a mano derecha</t>
  </si>
  <si>
    <t>Universitario;Bachiller Educación Media;Noveno Aprobado;Escuela Completa;Licenciatura;</t>
  </si>
  <si>
    <t>Ingeniero en Seguridad Laboral e Higiene Ambiental;</t>
  </si>
  <si>
    <t>Haydee Pérez Araya</t>
  </si>
  <si>
    <t>William Picado Pérez</t>
  </si>
  <si>
    <t>Kendall Saborío Picado</t>
  </si>
  <si>
    <t>Kendall Andrés Saborío Picado</t>
  </si>
  <si>
    <t>Coordinadora RRHH</t>
  </si>
  <si>
    <t>16/03/2020</t>
  </si>
  <si>
    <t>RRHH</t>
  </si>
  <si>
    <t>RRHH Innovación &amp; TTI</t>
  </si>
  <si>
    <t>Empaque</t>
  </si>
  <si>
    <t>Luis Hernandez</t>
  </si>
  <si>
    <t>Técnico en Seguridad y Salud Ocupacional</t>
  </si>
  <si>
    <t xml:space="preserve">Randall </t>
  </si>
  <si>
    <t>Ruiz Vargas</t>
  </si>
  <si>
    <t>randall.ruiz@arcelormittal.com</t>
  </si>
  <si>
    <t>De la escuela de Suerre 500m norte y 100m oeste quinta casa mano izquierda color terracota, Jiménez, Pococí, Limon</t>
  </si>
  <si>
    <t>Escuela Completa;Grado Técnico;Noveno Aprobado;Bachiller Educación Media;</t>
  </si>
  <si>
    <t>Mecánico de precisión y Metrólogo;</t>
  </si>
  <si>
    <t>Ana Lorena Vargas Herrera</t>
  </si>
  <si>
    <t>Miguel Angel Ruiz Miranda</t>
  </si>
  <si>
    <t>Katherinne Ruiz García</t>
  </si>
  <si>
    <t>Katherinne Paulethe Ruiz García</t>
  </si>
  <si>
    <t>Elmis Sofia Ruiz Ramirez</t>
  </si>
  <si>
    <t>Supervisor de control de calidad</t>
  </si>
  <si>
    <t>23/11/1999</t>
  </si>
  <si>
    <t>Juan Pablo Vargas Rodríguez</t>
  </si>
  <si>
    <t>Espacios confinados;Bloqueo y etiquetado (Consignación);</t>
  </si>
  <si>
    <t>Wedel</t>
  </si>
  <si>
    <t>Jiménez Soto</t>
  </si>
  <si>
    <t>wedeljs@hotmail.com</t>
  </si>
  <si>
    <t>Coopevigua 3, Pococí, Limón</t>
  </si>
  <si>
    <t>Facturador;</t>
  </si>
  <si>
    <t>María Virginia Soto</t>
  </si>
  <si>
    <t>Wedel Jiménez Suarez</t>
  </si>
  <si>
    <t>Allison Gutiérrez Fernández</t>
  </si>
  <si>
    <t>Facturador</t>
  </si>
  <si>
    <t>06-02-2019</t>
  </si>
  <si>
    <t xml:space="preserve">Estibador </t>
  </si>
  <si>
    <t xml:space="preserve">Facturador </t>
  </si>
  <si>
    <t>1 y 6 meses</t>
  </si>
  <si>
    <t>CR 6701 0200 0093 6970 6071</t>
  </si>
  <si>
    <t>Sánchez Ramírez</t>
  </si>
  <si>
    <t>luis.ds.ramirez@arcelormittal.com</t>
  </si>
  <si>
    <t>Jiménez, Pococí, Limón</t>
  </si>
  <si>
    <t>Universitario;</t>
  </si>
  <si>
    <t>Administración Aduanera.;</t>
  </si>
  <si>
    <t>Yamileth Ramírez Ramírez</t>
  </si>
  <si>
    <t>Leonardo Sánchez Cob</t>
  </si>
  <si>
    <t>Sara Sánchez González</t>
  </si>
  <si>
    <t>Supervisor de Compras y Bodega - PL</t>
  </si>
  <si>
    <t>05-12-2016</t>
  </si>
  <si>
    <t>Analista de Planeamiento de Ventas y Logística</t>
  </si>
  <si>
    <t>Supervisor de Compras - PL</t>
  </si>
  <si>
    <t>Actual</t>
  </si>
  <si>
    <t>CR79010200009298363519</t>
  </si>
  <si>
    <t>Juan Gerardo</t>
  </si>
  <si>
    <t>Álvarez Araya</t>
  </si>
  <si>
    <t>alvarezarayajuan@gmail.com</t>
  </si>
  <si>
    <t xml:space="preserve">Jiménez, Pococí, Limón.  50 metros norte de la escuela de Anita Grande </t>
  </si>
  <si>
    <t>Escuela Completa;Noveno Aprobado;Bachiller Educación Media;Grado Técnico;Universitario;</t>
  </si>
  <si>
    <t>Soldador;Mecánico de banco;Mecánico de Precisión. ;</t>
  </si>
  <si>
    <t xml:space="preserve">María Araya Paniagua </t>
  </si>
  <si>
    <t xml:space="preserve">Marvin Álvarez </t>
  </si>
  <si>
    <t xml:space="preserve">Armador de cajas, Robot. </t>
  </si>
  <si>
    <t>09/08/2020</t>
  </si>
  <si>
    <t>Robot y Armado de Cajas.</t>
  </si>
  <si>
    <t xml:space="preserve">Michael Valverde </t>
  </si>
  <si>
    <t>Armado de cajas, robot.</t>
  </si>
  <si>
    <t>Desde agosto 2020, hasta la fecha.</t>
  </si>
  <si>
    <t>Jimmy Jose</t>
  </si>
  <si>
    <t>Ovares Mejia</t>
  </si>
  <si>
    <t>jimova21@gmail.com</t>
  </si>
  <si>
    <t>Limón , Guápiles , Urbanizacion don eduiw casa D19</t>
  </si>
  <si>
    <t>Contruccion;Carpintero;Soldador;Mecánico automotriz;Electricista Residencial;Electricista Industrial;</t>
  </si>
  <si>
    <t xml:space="preserve">Nuria Mejia Cascante </t>
  </si>
  <si>
    <t xml:space="preserve">Jimmy Gerardo Ovares Méndez </t>
  </si>
  <si>
    <t xml:space="preserve">María Price Monge </t>
  </si>
  <si>
    <t>Dennis Ovares Arias</t>
  </si>
  <si>
    <t>Maria Jose Ovares Jimenez</t>
  </si>
  <si>
    <t>Electricista de mantenimiento</t>
  </si>
  <si>
    <t>15/08/2006</t>
  </si>
  <si>
    <t xml:space="preserve">Ricardo Wepoth Rojas </t>
  </si>
  <si>
    <t>Enderezado</t>
  </si>
  <si>
    <t xml:space="preserve"> 2 año</t>
  </si>
  <si>
    <t>Metalizado , Lavado de cajas y reparacion de elementos del tren</t>
  </si>
  <si>
    <t>Eléctrico de mantenimiento</t>
  </si>
  <si>
    <t>CR72010200009059978967</t>
  </si>
  <si>
    <t>Roger</t>
  </si>
  <si>
    <t>Gomez</t>
  </si>
  <si>
    <t>rogergoca1804@gmail.com</t>
  </si>
  <si>
    <t>San Luis de Jimenez,  Pococi Limon.</t>
  </si>
  <si>
    <t>Bachiller Educación Media;Grado Técnico;Escuela Completa;Noveno Aprobado;</t>
  </si>
  <si>
    <t>Mecánica industrial;Soldador;</t>
  </si>
  <si>
    <t>Julia Calvo Garcia</t>
  </si>
  <si>
    <t>2763 8002</t>
  </si>
  <si>
    <t>Manuel Gomez Solano</t>
  </si>
  <si>
    <t>Erlin Salas Herrera</t>
  </si>
  <si>
    <t>Goering Gomez Calvo</t>
  </si>
  <si>
    <t>Ali Gomez Salas.</t>
  </si>
  <si>
    <t>Adrian Gomez Salas</t>
  </si>
  <si>
    <t>Mecanico</t>
  </si>
  <si>
    <t>30-08-2002</t>
  </si>
  <si>
    <t>Operario de evacuacion area de produccion.</t>
  </si>
  <si>
    <t>8 años.</t>
  </si>
  <si>
    <t>Mecanico de Mantenimiento.</t>
  </si>
  <si>
    <t>9 años</t>
  </si>
  <si>
    <t>Freyman Jesus</t>
  </si>
  <si>
    <t>Mata Motero</t>
  </si>
  <si>
    <t>freyman1797@gmail.com</t>
  </si>
  <si>
    <t>Jimenez, Pococi, Limon.</t>
  </si>
  <si>
    <t>Escuela Completa;Noveno Aprobado;</t>
  </si>
  <si>
    <t>micelanio.;</t>
  </si>
  <si>
    <t>Yailin Fransini Montero Arguedas</t>
  </si>
  <si>
    <t>Javier Mata Tijerino</t>
  </si>
  <si>
    <t>Nazareth Fabiola Diaz Murillo</t>
  </si>
  <si>
    <t>Emma Natasha Mata Diaz</t>
  </si>
  <si>
    <t>micelanio</t>
  </si>
  <si>
    <t>4 Marzo del 2019</t>
  </si>
  <si>
    <t>Luiz Mendez</t>
  </si>
  <si>
    <t>Micelanio</t>
  </si>
  <si>
    <t>Empacador</t>
  </si>
  <si>
    <t>Año y 7 meses</t>
  </si>
  <si>
    <t>Grudero</t>
  </si>
  <si>
    <t>marvinbalto1974@gmail.com</t>
  </si>
  <si>
    <t>guarari de heredia  600 ai este de la escuela de guarari casa m8</t>
  </si>
  <si>
    <t xml:space="preserve">alvaro </t>
  </si>
  <si>
    <t>Viudo</t>
  </si>
  <si>
    <t>sheyla naomi villegas</t>
  </si>
  <si>
    <t>gruero</t>
  </si>
  <si>
    <t>29 de junio 94</t>
  </si>
  <si>
    <t xml:space="preserve">gruero </t>
  </si>
  <si>
    <t>17 años</t>
  </si>
  <si>
    <t>Jainer Dayan</t>
  </si>
  <si>
    <t>Bermudez Venegas</t>
  </si>
  <si>
    <t>jainerbv@outlook.com</t>
  </si>
  <si>
    <t>Jimenez, Pococi, Limon. del cementerio de Jimenez 50 metros Sur  apartamentos color beige</t>
  </si>
  <si>
    <t>Libia Bermudez Venegas</t>
  </si>
  <si>
    <t>Mecanico de guias</t>
  </si>
  <si>
    <t>30 julio 2020</t>
  </si>
  <si>
    <t>2 meses</t>
  </si>
  <si>
    <t>CR04010200009440651356</t>
  </si>
  <si>
    <t>Eddie Josué</t>
  </si>
  <si>
    <t>Solano Astorga</t>
  </si>
  <si>
    <t>josolano89@gmail.com</t>
  </si>
  <si>
    <t xml:space="preserve">Horquetas, Sarapiquí, Heredia, 240 al este del super la conquista </t>
  </si>
  <si>
    <t>Mecánico de Precisión ;</t>
  </si>
  <si>
    <t xml:space="preserve">Eugenia Astorga Rojas </t>
  </si>
  <si>
    <t>Eddie Solano Rodrigues</t>
  </si>
  <si>
    <t>Ruth Mery Esquivel Fernández</t>
  </si>
  <si>
    <t>Karla Solano Astorga</t>
  </si>
  <si>
    <t>Lucas Emiliano Solano Esquivel</t>
  </si>
  <si>
    <t xml:space="preserve">Mecánico de Precisión </t>
  </si>
  <si>
    <t>6 DE AGOSTO DEL 2018</t>
  </si>
  <si>
    <t xml:space="preserve">Mario Brenes Morales </t>
  </si>
  <si>
    <t>Mecánico de Precisión</t>
  </si>
  <si>
    <t>jairoarcre@gmail.com</t>
  </si>
  <si>
    <t xml:space="preserve">500 METROS SUR DEL CENTRO EDUCATIVO SUERRES </t>
  </si>
  <si>
    <t>AUXILIAR DE BODEGA CDA;</t>
  </si>
  <si>
    <t xml:space="preserve">MARTA MORA RODRIGUES </t>
  </si>
  <si>
    <t>84 05 40 66</t>
  </si>
  <si>
    <t>MANUEL ANTONIO ARCE CASTRO</t>
  </si>
  <si>
    <t xml:space="preserve">vanessa ramirez solis  </t>
  </si>
  <si>
    <t xml:space="preserve">Thiago Mauricio Arce Ramirez </t>
  </si>
  <si>
    <t>11 02 2019</t>
  </si>
  <si>
    <t xml:space="preserve">Auxiliar de bodega </t>
  </si>
  <si>
    <t>1 año 8 meses</t>
  </si>
  <si>
    <t>Trabajo en alturas;Operador de montacargas;Operador grúa puente (Remota);</t>
  </si>
  <si>
    <t>Alan</t>
  </si>
  <si>
    <t xml:space="preserve"> Eduardo Alfredo  </t>
  </si>
  <si>
    <t>Obando Fonseca</t>
  </si>
  <si>
    <t>Arce Mora</t>
  </si>
  <si>
    <t>Villegas</t>
  </si>
  <si>
    <t>Leon Jimenez</t>
  </si>
  <si>
    <t>Sanchez  Lopez</t>
  </si>
  <si>
    <t>Hidalgo Araya</t>
  </si>
  <si>
    <t>Cumpleaños</t>
  </si>
  <si>
    <t xml:space="preserve">Dirección exacta, </t>
  </si>
  <si>
    <t>Distrito</t>
  </si>
  <si>
    <t>Cantón</t>
  </si>
  <si>
    <t>Provincia</t>
  </si>
  <si>
    <t>Carlos Rodolfo Retana Molina</t>
  </si>
  <si>
    <t>Azalia Pinar Pinar</t>
  </si>
  <si>
    <t xml:space="preserve">Allan </t>
  </si>
  <si>
    <t xml:space="preserve">Lacayo Campos </t>
  </si>
  <si>
    <t>Fabian</t>
  </si>
  <si>
    <t>Sergio Antonio</t>
  </si>
  <si>
    <t>Alvarado Gomez</t>
  </si>
  <si>
    <t xml:space="preserve">Jossie Esteban </t>
  </si>
  <si>
    <t>Calex</t>
  </si>
  <si>
    <t>Jairo Mauricio</t>
  </si>
  <si>
    <t>Marvin</t>
  </si>
  <si>
    <t>Yeremy</t>
  </si>
  <si>
    <t xml:space="preserve">Marvin </t>
  </si>
  <si>
    <t>Junior</t>
  </si>
  <si>
    <t>Justin</t>
  </si>
  <si>
    <t>Gomez Calvo</t>
  </si>
  <si>
    <t>Marin Ramirez</t>
  </si>
  <si>
    <t xml:space="preserve">Lopez Gutierrez </t>
  </si>
  <si>
    <t>Vargas Moraga</t>
  </si>
  <si>
    <t>Arias Mendez</t>
  </si>
  <si>
    <t>Miranda Lopez</t>
  </si>
  <si>
    <t>Jiménez</t>
  </si>
  <si>
    <t>Pococí</t>
  </si>
  <si>
    <t>Limón</t>
  </si>
  <si>
    <t>Afiliado 1</t>
  </si>
  <si>
    <t>Afiliado 2</t>
  </si>
  <si>
    <t>Jossette Mendez Leon</t>
  </si>
  <si>
    <t>Jessica Marin Barbosa</t>
  </si>
  <si>
    <t>2 kilometros norte de la via ferroviaria de Anita Grande</t>
  </si>
  <si>
    <t>Guacimo</t>
  </si>
  <si>
    <t>La Selva</t>
  </si>
  <si>
    <t>Chavez Gazo</t>
  </si>
  <si>
    <t>1O/12/2007</t>
  </si>
  <si>
    <t>Roxana</t>
  </si>
  <si>
    <t>Pococi</t>
  </si>
  <si>
    <t>Guápiles</t>
  </si>
  <si>
    <t>Afiliado 3</t>
  </si>
  <si>
    <t>Código proveedor</t>
  </si>
  <si>
    <t>Código Cliente</t>
  </si>
  <si>
    <t>Fecha</t>
  </si>
  <si>
    <t>Hoy</t>
  </si>
  <si>
    <t>Dias</t>
  </si>
  <si>
    <t>Nacimiento de conyugue</t>
  </si>
  <si>
    <t>Telefono Hijo 1</t>
  </si>
  <si>
    <t>Telefono Hijo 2</t>
  </si>
  <si>
    <t>Telefono Hijo 3</t>
  </si>
  <si>
    <t>Telefono Hijo 4</t>
  </si>
  <si>
    <t>Telefono Hijo 5</t>
  </si>
  <si>
    <t>Nombre Completo Hijo (6)</t>
  </si>
  <si>
    <t>Fecha de Nacimiento 6</t>
  </si>
  <si>
    <t>Telefono hijo 6</t>
  </si>
  <si>
    <t>Nacimiento del padre</t>
  </si>
  <si>
    <t>Nacimiento de la madre</t>
  </si>
  <si>
    <t>Hermano 1</t>
  </si>
  <si>
    <t>Hermano 2</t>
  </si>
  <si>
    <t>Hermano 3</t>
  </si>
  <si>
    <t>Hermano 4</t>
  </si>
  <si>
    <t>Hermano 5</t>
  </si>
  <si>
    <t>Telefono hermano 1</t>
  </si>
  <si>
    <t>Telefono hermano 2</t>
  </si>
  <si>
    <t>Telefono hermano 3</t>
  </si>
  <si>
    <t>Telefono hermano 4</t>
  </si>
  <si>
    <t>Telefono hermano 5</t>
  </si>
  <si>
    <t>Cumpleaños hermano 1</t>
  </si>
  <si>
    <t>Cumpleaños hermano 2</t>
  </si>
  <si>
    <t>Cumpleaños hermano 3</t>
  </si>
  <si>
    <t>Cumpleaños hermano 4</t>
  </si>
  <si>
    <t>Cumpleaños hermano 5</t>
  </si>
  <si>
    <t>cr0021314</t>
  </si>
  <si>
    <t>roquega80@gmail.com</t>
  </si>
  <si>
    <t>14/7/1980</t>
  </si>
  <si>
    <t>Ronny Mauricio</t>
  </si>
  <si>
    <t>Quesada Garita</t>
  </si>
  <si>
    <t>Marianela Leiva Diaz</t>
  </si>
  <si>
    <t>28/2/1982</t>
  </si>
  <si>
    <t>Erick Quesada Jiménez</t>
  </si>
  <si>
    <t>26/12/2003</t>
  </si>
  <si>
    <t>Diego Quesada Jiménez</t>
  </si>
  <si>
    <t>Mauricio Quesada Leiva</t>
  </si>
  <si>
    <t>17/4/2007</t>
  </si>
  <si>
    <t>26/11/2016</t>
  </si>
  <si>
    <t>Omar Quesada Jara</t>
  </si>
  <si>
    <t>Lilliam Garita Romero</t>
  </si>
  <si>
    <t>24/09/1950</t>
  </si>
  <si>
    <t>Profesiones</t>
  </si>
  <si>
    <t>Administrador de Empresas</t>
  </si>
  <si>
    <t>Ingeniero industrial</t>
  </si>
  <si>
    <t>Ingeniero Mecánico</t>
  </si>
  <si>
    <t>Ingeniero Quimico</t>
  </si>
  <si>
    <t>campo1</t>
  </si>
  <si>
    <t>titulo1</t>
  </si>
  <si>
    <t>campo2</t>
  </si>
  <si>
    <t>titulo2</t>
  </si>
  <si>
    <t>campo3</t>
  </si>
  <si>
    <t>titulo3</t>
  </si>
  <si>
    <t>campo4</t>
  </si>
  <si>
    <t>titulo4</t>
  </si>
  <si>
    <t>campo5</t>
  </si>
  <si>
    <t>titulo5</t>
  </si>
  <si>
    <t>campo6</t>
  </si>
  <si>
    <t>titulo6</t>
  </si>
  <si>
    <t>campo7</t>
  </si>
  <si>
    <t>titulo7</t>
  </si>
  <si>
    <t>campo8</t>
  </si>
  <si>
    <t>titulo8</t>
  </si>
  <si>
    <t>campo9</t>
  </si>
  <si>
    <t>titulo9</t>
  </si>
  <si>
    <t>años</t>
  </si>
  <si>
    <t>Estado</t>
  </si>
  <si>
    <t>Erick</t>
  </si>
  <si>
    <t>Quesada jimenez</t>
  </si>
  <si>
    <t>erickquesadajimenez@gmail.com</t>
  </si>
  <si>
    <t>Puestos</t>
  </si>
  <si>
    <t>puesto1</t>
  </si>
  <si>
    <t>puesto2</t>
  </si>
  <si>
    <t>puesto3</t>
  </si>
  <si>
    <t>puesto4</t>
  </si>
  <si>
    <t>puesto5</t>
  </si>
  <si>
    <t>puesto6</t>
  </si>
  <si>
    <t>puesto7</t>
  </si>
  <si>
    <t>puesto8</t>
  </si>
  <si>
    <t>puesto9</t>
  </si>
  <si>
    <t>puesto10</t>
  </si>
  <si>
    <t>inicio1</t>
  </si>
  <si>
    <t>inicio2</t>
  </si>
  <si>
    <t>inicio3</t>
  </si>
  <si>
    <t>inicio4</t>
  </si>
  <si>
    <t>inicio5</t>
  </si>
  <si>
    <t>inicio6</t>
  </si>
  <si>
    <t>inicio7</t>
  </si>
  <si>
    <t>inicio8</t>
  </si>
  <si>
    <t>inicio9</t>
  </si>
  <si>
    <t>inicio10</t>
  </si>
  <si>
    <t>final1</t>
  </si>
  <si>
    <t>final2</t>
  </si>
  <si>
    <t>final3</t>
  </si>
  <si>
    <t>final4</t>
  </si>
  <si>
    <t>final5</t>
  </si>
  <si>
    <t>final6</t>
  </si>
  <si>
    <t>final7</t>
  </si>
  <si>
    <t>final8</t>
  </si>
  <si>
    <t>final9</t>
  </si>
  <si>
    <t>final10</t>
  </si>
  <si>
    <t>tiempo1</t>
  </si>
  <si>
    <t>tiempo2</t>
  </si>
  <si>
    <t>tiempo3</t>
  </si>
  <si>
    <t>tiempo4</t>
  </si>
  <si>
    <t>tiempo5</t>
  </si>
  <si>
    <t>tiempo6</t>
  </si>
  <si>
    <t>tiempo7</t>
  </si>
  <si>
    <t>tiempo8</t>
  </si>
  <si>
    <t>tiempo9</t>
  </si>
  <si>
    <t>tiempo10</t>
  </si>
  <si>
    <t>edad padre</t>
  </si>
  <si>
    <t>edad madre</t>
  </si>
  <si>
    <t>edad conyugue</t>
  </si>
  <si>
    <t>edad hijo1</t>
  </si>
  <si>
    <t>edad hijo2</t>
  </si>
  <si>
    <t>edad hijo3</t>
  </si>
  <si>
    <t>edad hijo4</t>
  </si>
  <si>
    <t>edad hijo5</t>
  </si>
  <si>
    <t>edad hijo6</t>
  </si>
  <si>
    <t>edad hermano1</t>
  </si>
  <si>
    <t>edad hermano2</t>
  </si>
  <si>
    <t>edad hermano3</t>
  </si>
  <si>
    <t>edad hermano4</t>
  </si>
  <si>
    <t>edad hermano5</t>
  </si>
  <si>
    <t>Fecha inicio</t>
  </si>
  <si>
    <t>dias</t>
  </si>
  <si>
    <t>inicio sin final</t>
  </si>
  <si>
    <t>Fecha final</t>
  </si>
  <si>
    <t>Tecnico medio en mecanica general CTPP</t>
  </si>
  <si>
    <t>Ingenieria Industrial UIA</t>
  </si>
  <si>
    <t xml:space="preserve">Automatización </t>
  </si>
  <si>
    <t>INA</t>
  </si>
  <si>
    <t>26/12/2000</t>
  </si>
  <si>
    <t>fecha arreglar</t>
  </si>
  <si>
    <t>fecha arreglar2</t>
  </si>
  <si>
    <t>nombre</t>
  </si>
  <si>
    <t>codigo_colaborador</t>
  </si>
  <si>
    <t>correo</t>
  </si>
  <si>
    <t>nombre_departamento</t>
  </si>
  <si>
    <t>fecha_de_ingreso</t>
  </si>
  <si>
    <t>dias_disponibles</t>
  </si>
  <si>
    <t>fecha_de_nacimiento</t>
  </si>
  <si>
    <t>area</t>
  </si>
  <si>
    <t>Puesto Trabajo</t>
  </si>
  <si>
    <t>99022422</t>
  </si>
  <si>
    <t>Ademir Martinez Solano</t>
  </si>
  <si>
    <t>Compras - Bodega Repuestos</t>
  </si>
  <si>
    <t>Bodega de Repuestos y Compras</t>
  </si>
  <si>
    <t>Auxiliar De Bodega - Repuestos</t>
  </si>
  <si>
    <t>99022183</t>
  </si>
  <si>
    <t>Alan Perez Obando</t>
  </si>
  <si>
    <t>99021499</t>
  </si>
  <si>
    <t>Adonay Antonio Solano Romero</t>
  </si>
  <si>
    <t>adonay.romero@arcelormittal.com</t>
  </si>
  <si>
    <t>Mantenimiento - Area Mecánica</t>
  </si>
  <si>
    <t>Mantenimiento Mecánico</t>
  </si>
  <si>
    <t>Operador De Planta De Aguas</t>
  </si>
  <si>
    <t>99021671</t>
  </si>
  <si>
    <t>Leonardo Wepolt Rojas</t>
  </si>
  <si>
    <t>99022433</t>
  </si>
  <si>
    <t>Angie Cornejo Solis</t>
  </si>
  <si>
    <t>angie.solis@arcelormittal.com</t>
  </si>
  <si>
    <t>Departamento De Finanzas</t>
  </si>
  <si>
    <t>Administrativo</t>
  </si>
  <si>
    <t>Analista Contable Junior</t>
  </si>
  <si>
    <t>99022384</t>
  </si>
  <si>
    <t>Adrian Villegas Leon</t>
  </si>
  <si>
    <t>Logística-Cda</t>
  </si>
  <si>
    <t>Auxiliar De Bodega - Despacho</t>
  </si>
  <si>
    <t>99022447</t>
  </si>
  <si>
    <t>Esteban Soto Gonzalez</t>
  </si>
  <si>
    <t>es2765974@gmail.com</t>
  </si>
  <si>
    <t>Logística-Productos Largos</t>
  </si>
  <si>
    <t>99022350</t>
  </si>
  <si>
    <t>Leonardo Corrales Cerdas</t>
  </si>
  <si>
    <t>leonardo.c.cerdas@arcelormittal.com</t>
  </si>
  <si>
    <t>Analista De Controlling Senior</t>
  </si>
  <si>
    <t>99022331</t>
  </si>
  <si>
    <t>Aldo Steward Ramirez Chavarria</t>
  </si>
  <si>
    <t>aldo.chavarria@arcelormittal.com</t>
  </si>
  <si>
    <t>Analista De Credito &amp; Cobro</t>
  </si>
  <si>
    <t>99022441</t>
  </si>
  <si>
    <t>Alexandra Zapata Fajardo</t>
  </si>
  <si>
    <t>alexandra.fajardo@arcelormittal.com</t>
  </si>
  <si>
    <t>99022435</t>
  </si>
  <si>
    <t>Kenneth Trejos Sibaja</t>
  </si>
  <si>
    <t>kenneth.sibaja@arcelormittal.com</t>
  </si>
  <si>
    <t>99022351</t>
  </si>
  <si>
    <t>Alejandro Valenciano Arley</t>
  </si>
  <si>
    <t>99022361</t>
  </si>
  <si>
    <t>Jose Carlos Baltodano Obando</t>
  </si>
  <si>
    <t>jose.obando@arcelormittal.com</t>
  </si>
  <si>
    <t>Distribución Mi Y Me</t>
  </si>
  <si>
    <t>Analista De Logistica</t>
  </si>
  <si>
    <t>99022313</t>
  </si>
  <si>
    <t>Jose Pablo Ulate Araya</t>
  </si>
  <si>
    <t>jose.araya@arcelormittal.com</t>
  </si>
  <si>
    <t>99022365</t>
  </si>
  <si>
    <t>Alexander Artavia Araya</t>
  </si>
  <si>
    <t>Procesos - Talleres</t>
  </si>
  <si>
    <t>Taller de Precisión</t>
  </si>
  <si>
    <t>Mecánico De Corrugadora</t>
  </si>
  <si>
    <t>99022457</t>
  </si>
  <si>
    <t>Jose David Molina Gomez</t>
  </si>
  <si>
    <t>dvdmg21@gmail.com</t>
  </si>
  <si>
    <t>Centro De Distribución Y Logística</t>
  </si>
  <si>
    <t>Analista De Ventas</t>
  </si>
  <si>
    <t>99022426</t>
  </si>
  <si>
    <t>Joselyn Solano Morales</t>
  </si>
  <si>
    <t>joselyn.morales@arcelormittal.com</t>
  </si>
  <si>
    <t>Departamento De Ventas</t>
  </si>
  <si>
    <t>99022298</t>
  </si>
  <si>
    <t>Leonardo Enrique Arce Parajeles</t>
  </si>
  <si>
    <t>leonardo.parajeles@arcelormittal.com</t>
  </si>
  <si>
    <t>Analista De Ventas - Log. Red Disrtrib.</t>
  </si>
  <si>
    <t>99021665</t>
  </si>
  <si>
    <t>Alexis Vinicio Solano Campos</t>
  </si>
  <si>
    <t>Departamento De Producción-5</t>
  </si>
  <si>
    <t>Evacución</t>
  </si>
  <si>
    <t>99021077</t>
  </si>
  <si>
    <t>Johnny Elder Rojas Araya</t>
  </si>
  <si>
    <t>johnny.araya@arcelormittal.com</t>
  </si>
  <si>
    <t>Departamento De Producción-3</t>
  </si>
  <si>
    <t>99022430</t>
  </si>
  <si>
    <t>Catalina Mora Montero</t>
  </si>
  <si>
    <t>catalina.montero@arcelormittal.com</t>
  </si>
  <si>
    <t>Analista Inteligencia De Mercados</t>
  </si>
  <si>
    <t>99021480</t>
  </si>
  <si>
    <t>Allan Alfonso Hidalgo Araya</t>
  </si>
  <si>
    <t>allan.hidalgo66@gmail.com</t>
  </si>
  <si>
    <t>Facturador - Despachador</t>
  </si>
  <si>
    <t>99022449</t>
  </si>
  <si>
    <t>Juan Gerardo Alvarez Araya</t>
  </si>
  <si>
    <t>Armador En Robot</t>
  </si>
  <si>
    <t>99022320</t>
  </si>
  <si>
    <t>Allan Solis Solis</t>
  </si>
  <si>
    <t>allan.solis@arcelormittal.com</t>
  </si>
  <si>
    <t>Gerencia Rrhh, Ti &amp; Innovacion</t>
  </si>
  <si>
    <t>Coordinador De Información E Innovación</t>
  </si>
  <si>
    <t>99022376</t>
  </si>
  <si>
    <t>Andrea Rodriguez Arrieta</t>
  </si>
  <si>
    <t>andrea.arrieta@arcelormittal.com</t>
  </si>
  <si>
    <t>Departamento Marketing</t>
  </si>
  <si>
    <t>Especialista De Marketing</t>
  </si>
  <si>
    <t>99022073</t>
  </si>
  <si>
    <t>Carlos Andres Berrocal Jimenez</t>
  </si>
  <si>
    <t>carlos.berrocal@arcelormittal.com</t>
  </si>
  <si>
    <t>Gerencia Proyectos Y Asesoria Tecnica</t>
  </si>
  <si>
    <t>99022458</t>
  </si>
  <si>
    <t>Andrew Castillo Vega</t>
  </si>
  <si>
    <t>Estibador</t>
  </si>
  <si>
    <t>99022429</t>
  </si>
  <si>
    <t>Jeremy Vargas Moraga</t>
  </si>
  <si>
    <t>yeremyvargas23@gmail.com</t>
  </si>
  <si>
    <t>99022460</t>
  </si>
  <si>
    <t>Jorge Esquivel Fernandez</t>
  </si>
  <si>
    <t>jorgeesquivelfer1997@gmail.com</t>
  </si>
  <si>
    <t>99022461</t>
  </si>
  <si>
    <t>Jose Andres Gonzalez Chavarria</t>
  </si>
  <si>
    <t>gonzalez13josechavarria@gmail.com</t>
  </si>
  <si>
    <t>99022462</t>
  </si>
  <si>
    <t>Jose Ruben Portuguez Arce</t>
  </si>
  <si>
    <t>joseportuguez@yahoo.com</t>
  </si>
  <si>
    <t>99022451</t>
  </si>
  <si>
    <t>Junior Miranda Lopez</t>
  </si>
  <si>
    <t>jl60862341@gmail.com</t>
  </si>
  <si>
    <t>99022392</t>
  </si>
  <si>
    <t>Freyman Mata Montero</t>
  </si>
  <si>
    <t>Auxiliar De Bodega</t>
  </si>
  <si>
    <t>99022366</t>
  </si>
  <si>
    <t>Gilmar Gerardo Sandoval Murillo</t>
  </si>
  <si>
    <t>99022381</t>
  </si>
  <si>
    <t>Jairo Mauricio Arce Mora</t>
  </si>
  <si>
    <t>jairoarcre1397@gmail.com</t>
  </si>
  <si>
    <t>99021431</t>
  </si>
  <si>
    <t>Angel Emilio Lopez Gutierrez</t>
  </si>
  <si>
    <t>Logística-Materia Prima</t>
  </si>
  <si>
    <t>Gruero De Materia Prima</t>
  </si>
  <si>
    <t>99022396</t>
  </si>
  <si>
    <t>Josimar Mairena Martinez</t>
  </si>
  <si>
    <t>99022253</t>
  </si>
  <si>
    <t>Freyman Montero Arguedas</t>
  </si>
  <si>
    <t>Auxiliar De Bodega - Materia Prima</t>
  </si>
  <si>
    <t>99022246</t>
  </si>
  <si>
    <t>Luis Gerardo Solano Solorzano</t>
  </si>
  <si>
    <t>99022388</t>
  </si>
  <si>
    <t>Argenis Retana Naranjo</t>
  </si>
  <si>
    <t>naranjo22retana@gmail.com</t>
  </si>
  <si>
    <t>Departamento De Producción-4</t>
  </si>
  <si>
    <t>Ayudante De Laminación</t>
  </si>
  <si>
    <t>99022370</t>
  </si>
  <si>
    <t>Arlen Franz Guillen Berrocal</t>
  </si>
  <si>
    <t>arlen.berrocal@arcelormittal.com</t>
  </si>
  <si>
    <t>Gerencia De Planta</t>
  </si>
  <si>
    <t>Planeer De Mantenimiento</t>
  </si>
  <si>
    <t>99022132</t>
  </si>
  <si>
    <t>Eduardo Mena Vargas</t>
  </si>
  <si>
    <t>menaeduardo28@gmail.com</t>
  </si>
  <si>
    <t>Procesos - Laboratorio</t>
  </si>
  <si>
    <t>Laboratorio y Calidad</t>
  </si>
  <si>
    <t>Auxiliar De Laboratorio</t>
  </si>
  <si>
    <t>99021619</t>
  </si>
  <si>
    <t>Eduardo Rodolfo Hidalgo Hernandez</t>
  </si>
  <si>
    <t>edu.hidal31@gmail.com</t>
  </si>
  <si>
    <t>99022394</t>
  </si>
  <si>
    <t>Jose Pablo Arce Mendez</t>
  </si>
  <si>
    <t>99021598</t>
  </si>
  <si>
    <t>Bryan Araya Gonzalez</t>
  </si>
  <si>
    <t>brayan.araya@arcelormittal.com</t>
  </si>
  <si>
    <t>Departamento De Procesos-1</t>
  </si>
  <si>
    <t>Ingeniero De Procesos</t>
  </si>
  <si>
    <t>99022330</t>
  </si>
  <si>
    <t>Bryan Fonseca Quiros</t>
  </si>
  <si>
    <t>bryan.quiros@arcelormittal.com</t>
  </si>
  <si>
    <t>Mantenimiento - Area Eléctrica</t>
  </si>
  <si>
    <t>Mantenimiento Eléctrico</t>
  </si>
  <si>
    <t>Eléctrico Del Tren</t>
  </si>
  <si>
    <t>99022254</t>
  </si>
  <si>
    <t>Carlos Quiros Badilla</t>
  </si>
  <si>
    <t>quiroba2009@hotmail.com</t>
  </si>
  <si>
    <t>99022355</t>
  </si>
  <si>
    <t>Calex Chavez Gazo</t>
  </si>
  <si>
    <t>calexchaves2891gazo@gmail.com</t>
  </si>
  <si>
    <t>Mecánico De Guías</t>
  </si>
  <si>
    <t>99022448</t>
  </si>
  <si>
    <t>Jainer Bermudez Venegas</t>
  </si>
  <si>
    <t>99021617</t>
  </si>
  <si>
    <t>Jose Gerardo Montero Brenes</t>
  </si>
  <si>
    <t>Compras - Planta</t>
  </si>
  <si>
    <t>Comprador</t>
  </si>
  <si>
    <t>99018505</t>
  </si>
  <si>
    <t>Jose Maria Chacon Obando</t>
  </si>
  <si>
    <t>jose.mchacon@arcelormittal.com</t>
  </si>
  <si>
    <t>Contador General</t>
  </si>
  <si>
    <t>99021601</t>
  </si>
  <si>
    <t>Carlos Enrique Leon Azofeifa</t>
  </si>
  <si>
    <t>clf7498@gmail.com</t>
  </si>
  <si>
    <t>Operador De Atadoras</t>
  </si>
  <si>
    <t>99021625</t>
  </si>
  <si>
    <t>Jairo Sanchez Lopez</t>
  </si>
  <si>
    <t>jairocr1981@gmail.com</t>
  </si>
  <si>
    <t>Controlador De Mantos</t>
  </si>
  <si>
    <t>99021724</t>
  </si>
  <si>
    <t>Dennis Munoz Gonzalez</t>
  </si>
  <si>
    <t>denis.munoz@arcelormittal.com</t>
  </si>
  <si>
    <t>Coordinador De Compensación &amp; Beneficios</t>
  </si>
  <si>
    <t>99022016</t>
  </si>
  <si>
    <t>Cilliam Barrantes Naranjo</t>
  </si>
  <si>
    <t>cilliam.barrantes@arcelormittal.com</t>
  </si>
  <si>
    <t>Gerencia General</t>
  </si>
  <si>
    <t>Gerente De Proyectos &amp; Asesoria Tecnica</t>
  </si>
  <si>
    <t>99022284</t>
  </si>
  <si>
    <t>Daniel Myers Mora</t>
  </si>
  <si>
    <t>daniel.myers@arcelormittal.com</t>
  </si>
  <si>
    <t>Departamento De Logística</t>
  </si>
  <si>
    <t>Supervisor De Planeación Transporte Mi &amp; Me</t>
  </si>
  <si>
    <t>99022184</t>
  </si>
  <si>
    <t>david.mora@arcelormittal.com.br</t>
  </si>
  <si>
    <t>Logística-Planta</t>
  </si>
  <si>
    <t>Supervisor De Logística</t>
  </si>
  <si>
    <t>99022444</t>
  </si>
  <si>
    <t>Jeihny Picado Pérez</t>
  </si>
  <si>
    <t>Coordinador De Recursos Humanos</t>
  </si>
  <si>
    <t>99022327</t>
  </si>
  <si>
    <t>David Eduardo Castro Rosales</t>
  </si>
  <si>
    <t>david.rosales@arcelormittal.com</t>
  </si>
  <si>
    <t>Encargado De Sitio De It</t>
  </si>
  <si>
    <t>99022154</t>
  </si>
  <si>
    <t>Luis Humberto Mendez Bendana</t>
  </si>
  <si>
    <t>luiz.mendez@arcelormittal.com</t>
  </si>
  <si>
    <t>Coordinador De Salud &amp; Seguridad Ocupac.</t>
  </si>
  <si>
    <t>99021416</t>
  </si>
  <si>
    <t>Dennis Mauricio Sanchez Obando</t>
  </si>
  <si>
    <t>dennis649t@gmail.com</t>
  </si>
  <si>
    <t>Mecánico De Armado De Cajas</t>
  </si>
  <si>
    <t>99022386</t>
  </si>
  <si>
    <t>Jeffry Hernandez Azofeifa</t>
  </si>
  <si>
    <t>jefrireyes2323@gmail.com</t>
  </si>
  <si>
    <t>99022387</t>
  </si>
  <si>
    <t>Justin Marin Ramirez</t>
  </si>
  <si>
    <t>99022369</t>
  </si>
  <si>
    <t>Eddie Josue Solano Astorga</t>
  </si>
  <si>
    <t>Mecánico De Cnc</t>
  </si>
  <si>
    <t>99022058</t>
  </si>
  <si>
    <t>Hector Gerardo Umana Vega</t>
  </si>
  <si>
    <t>99021673</t>
  </si>
  <si>
    <t>Juan Carlos Reyes Mesen</t>
  </si>
  <si>
    <t>99022454</t>
  </si>
  <si>
    <t>Johel Soza Vasquez</t>
  </si>
  <si>
    <t>johelvasquez31@gmail.com</t>
  </si>
  <si>
    <t>Cortador De Muestras</t>
  </si>
  <si>
    <t>99022452</t>
  </si>
  <si>
    <t>Kenneth Paniagua Cerdas</t>
  </si>
  <si>
    <t>kennethpc28@gmail.com</t>
  </si>
  <si>
    <t>99021597</t>
  </si>
  <si>
    <t>Edi Cruz Chinchilla</t>
  </si>
  <si>
    <t>eddy73807@gmail.com</t>
  </si>
  <si>
    <t>Mecánico De Mantenimiento</t>
  </si>
  <si>
    <t>99022445</t>
  </si>
  <si>
    <t>Henry Leandro Arias</t>
  </si>
  <si>
    <t>99022318</t>
  </si>
  <si>
    <t>Franklin Zuniga Ramirez</t>
  </si>
  <si>
    <t>franklin.ramirez@arcelormittal.com</t>
  </si>
  <si>
    <t>Ejecutivo De Ventas</t>
  </si>
  <si>
    <t>99022341</t>
  </si>
  <si>
    <t>Jesus Gerardo Pereira Quiros</t>
  </si>
  <si>
    <t>jesus.quiros@arcelormittal.com</t>
  </si>
  <si>
    <t>Departamento De Ventas Red</t>
  </si>
  <si>
    <t>99022304</t>
  </si>
  <si>
    <t>Jose Luis Castillo Barboza</t>
  </si>
  <si>
    <t>jose.barboza@arcelormittal.com</t>
  </si>
  <si>
    <t>99022425</t>
  </si>
  <si>
    <t>Josue Sanchez Cordero</t>
  </si>
  <si>
    <t>josue.cordero@arcelormittal.com</t>
  </si>
  <si>
    <t>99022339</t>
  </si>
  <si>
    <t>Luis Alonso Briceno Matarrita</t>
  </si>
  <si>
    <t>luis.matarrita@arcelormittal.com</t>
  </si>
  <si>
    <t>99022307</t>
  </si>
  <si>
    <t>Luis Fernando Salazar Murillo</t>
  </si>
  <si>
    <t>luis.murillo@arcelormittal.com</t>
  </si>
  <si>
    <t>99022391</t>
  </si>
  <si>
    <t>Henry Rojas Porras</t>
  </si>
  <si>
    <t>Eléctrico De Mantenimiento</t>
  </si>
  <si>
    <t>99021663</t>
  </si>
  <si>
    <t>Jimmy Ovares Mejia</t>
  </si>
  <si>
    <t>99021489</t>
  </si>
  <si>
    <t>Eduardo Obando Fonseca</t>
  </si>
  <si>
    <t>pirulo21489@gmail.com</t>
  </si>
  <si>
    <t>Gruero De Despacho</t>
  </si>
  <si>
    <t>99022382</t>
  </si>
  <si>
    <t>Jairo David Vargas Montoya</t>
  </si>
  <si>
    <t>jv8341133@gmail.com</t>
  </si>
  <si>
    <t>99022411</t>
  </si>
  <si>
    <t>Lorenzo Lopez Badilla</t>
  </si>
  <si>
    <t>lorenzobadilla14@gmail.com</t>
  </si>
  <si>
    <t>99022378</t>
  </si>
  <si>
    <t>Luis Angel Berrocal Segura</t>
  </si>
  <si>
    <t>99022407</t>
  </si>
  <si>
    <t>Eduardo Ortiz Barrantes</t>
  </si>
  <si>
    <t>eduardoortizbarrantes910@gmail.com</t>
  </si>
  <si>
    <t>Soldador De Laminación</t>
  </si>
  <si>
    <t>99022459</t>
  </si>
  <si>
    <t>Jeancarlo Vargas Hernandez</t>
  </si>
  <si>
    <t>jeancarlosv205@gmail.com</t>
  </si>
  <si>
    <t>Departamento De Producción-2</t>
  </si>
  <si>
    <t>Empaquetador</t>
  </si>
  <si>
    <t>99021656</t>
  </si>
  <si>
    <t>Eduardo Rodrigo Ortiz Calvo</t>
  </si>
  <si>
    <t>99022043</t>
  </si>
  <si>
    <t>Jose Guillermo Rosales Murillo</t>
  </si>
  <si>
    <t>joseguillermorosalesmurillo1@gmail.com</t>
  </si>
  <si>
    <t>99022353</t>
  </si>
  <si>
    <t>Fabian Lacayo Campos</t>
  </si>
  <si>
    <t>Operador De Pupitre Laminación</t>
  </si>
  <si>
    <t>99021003</t>
  </si>
  <si>
    <t>Gerardo Vega Mora</t>
  </si>
  <si>
    <t>gerardo.vega@arcelormittal.com</t>
  </si>
  <si>
    <t>Gerente De Área Del Centro Distribución</t>
  </si>
  <si>
    <t>99022405</t>
  </si>
  <si>
    <t>Gerson Brenes Cubero</t>
  </si>
  <si>
    <t>Operador De Atadoras Y Etiquetado</t>
  </si>
  <si>
    <t>99022401</t>
  </si>
  <si>
    <t>Jefferson Medrano Berrocal</t>
  </si>
  <si>
    <t>jeffmedrano03@gmail.com</t>
  </si>
  <si>
    <t>99022402</t>
  </si>
  <si>
    <t>Jurguen Solano Jaen</t>
  </si>
  <si>
    <t>jurguen30@gmail.com</t>
  </si>
  <si>
    <t>99022076</t>
  </si>
  <si>
    <t>Jose Pablo Quintero Montero</t>
  </si>
  <si>
    <t>jose.quintero@arcelormittal.com</t>
  </si>
  <si>
    <t>Especialista De Riesgos &amp; Compliance</t>
  </si>
  <si>
    <t>99022390</t>
  </si>
  <si>
    <t>Hans Ramirez Parajeles</t>
  </si>
  <si>
    <t>Operador De T-04</t>
  </si>
  <si>
    <t>99022440</t>
  </si>
  <si>
    <t>Hector Zuniga Diaz</t>
  </si>
  <si>
    <t>Gruero De Laminación</t>
  </si>
  <si>
    <t>99022204</t>
  </si>
  <si>
    <t>Josiee Esteban Gomez Calvo</t>
  </si>
  <si>
    <t>99022455</t>
  </si>
  <si>
    <t>Hugo Mora Cubero</t>
  </si>
  <si>
    <t>hugex18@gmail.com</t>
  </si>
  <si>
    <t>Mecánico De Robot</t>
  </si>
  <si>
    <t>99021744</t>
  </si>
  <si>
    <t>Jose Francisco Solano Castillo</t>
  </si>
  <si>
    <t>jose.solano@arcelormittal.com</t>
  </si>
  <si>
    <t>Gerente De Cadena De Abastecimiento</t>
  </si>
  <si>
    <t>99021037</t>
  </si>
  <si>
    <t>Juan Pablo Vargas Rodriguez</t>
  </si>
  <si>
    <t>juan.pablovargas@arcelormittal.com</t>
  </si>
  <si>
    <t>Gerente De Producción</t>
  </si>
  <si>
    <t>99022368</t>
  </si>
  <si>
    <t>Luis Alejandro Hernandez Urdaneta</t>
  </si>
  <si>
    <t>luis.urdaneta@arcelormittal.com</t>
  </si>
  <si>
    <t>Gerente De Rrhh, Ti &amp; Innovación</t>
  </si>
  <si>
    <t>99021388</t>
  </si>
  <si>
    <t>Javier Arce Mendez</t>
  </si>
  <si>
    <t>Mecánico Del Tren</t>
  </si>
  <si>
    <t>99021708</t>
  </si>
  <si>
    <t>Johnny Gerardo Barquero Hernandez</t>
  </si>
  <si>
    <t>johnny.barquero@arcelormittal.com</t>
  </si>
  <si>
    <t>Gerente Financiero</t>
  </si>
  <si>
    <t>99021305</t>
  </si>
  <si>
    <t>Jose Rodrigo Montoya Valverde</t>
  </si>
  <si>
    <t>rodrigo.montoya@arcelormittal.com</t>
  </si>
  <si>
    <t>Mantenimiento - Administrativos</t>
  </si>
  <si>
    <t>Supervisor De Área Mecánica</t>
  </si>
  <si>
    <t>99022315</t>
  </si>
  <si>
    <t>Lilliana Cordoba Quesada</t>
  </si>
  <si>
    <t>lilliana.quesada@arcelormittal.com</t>
  </si>
  <si>
    <t>Recepcionista</t>
  </si>
  <si>
    <t>99022326</t>
  </si>
  <si>
    <t>Karol Tatiana Gomez Chavarria</t>
  </si>
  <si>
    <t>karol.chavarria@arcelormittal.com</t>
  </si>
  <si>
    <t>Compras - Supervisores</t>
  </si>
  <si>
    <t>Supervisor De Compras - Ofc</t>
  </si>
  <si>
    <t>99022340</t>
  </si>
  <si>
    <t>Luis Diego Sanchez Ramirez</t>
  </si>
  <si>
    <t>Supervisor De Compras - Pl</t>
  </si>
  <si>
    <t>99022397</t>
  </si>
  <si>
    <t>Maikel Cruz Ramirez</t>
  </si>
  <si>
    <t>maikelcruz97@gmail.com</t>
  </si>
  <si>
    <t>99021645</t>
  </si>
  <si>
    <t>Marco Tulio Sanchez Arce</t>
  </si>
  <si>
    <t>99022463</t>
  </si>
  <si>
    <t>Marcos Andrey Chaves Gonzalez</t>
  </si>
  <si>
    <t>andreychaves748@gmail.com</t>
  </si>
  <si>
    <t>99022453</t>
  </si>
  <si>
    <t>Maria Jose Carballo Brenes</t>
  </si>
  <si>
    <t>maria.carballo@arcelormittal.com</t>
  </si>
  <si>
    <t>Área De Marketing</t>
  </si>
  <si>
    <t>Analista De Canales Digitales</t>
  </si>
  <si>
    <t>99021738</t>
  </si>
  <si>
    <t>Mario Enrique Brenes Morales</t>
  </si>
  <si>
    <t>mario.brenes@arcelormittal.com</t>
  </si>
  <si>
    <t>Gerente De Área Cdad. Total Y Medio Amb.</t>
  </si>
  <si>
    <t>Marvin Alexis Trana Chaves</t>
  </si>
  <si>
    <t>marvin.trana@arcelormittal.com</t>
  </si>
  <si>
    <t>Asistente De Tesorería</t>
  </si>
  <si>
    <t>99021486</t>
  </si>
  <si>
    <t>Marvin Arce Mendez</t>
  </si>
  <si>
    <t>arce3270@gmail.com</t>
  </si>
  <si>
    <t>99021404</t>
  </si>
  <si>
    <t>Marvin Arias Mendez</t>
  </si>
  <si>
    <t>marvinariasmendez1203@gmail.com</t>
  </si>
  <si>
    <t>99021121</t>
  </si>
  <si>
    <t>Marvin Villegas Baltodano</t>
  </si>
  <si>
    <t>99022122</t>
  </si>
  <si>
    <t>Michael Andres Rojas Quesada</t>
  </si>
  <si>
    <t>michael.rojas@arcelormittal.com</t>
  </si>
  <si>
    <t>Encargado De Bodega De Materia Prima</t>
  </si>
  <si>
    <t>99022404</t>
  </si>
  <si>
    <t>Michael Badilla Castrillo</t>
  </si>
  <si>
    <t>99022431</t>
  </si>
  <si>
    <t>Michael Loaiza Cruz</t>
  </si>
  <si>
    <t>99022088</t>
  </si>
  <si>
    <t>Michael Valverde Nunez</t>
  </si>
  <si>
    <t>michael.valverde@arcelormittal.com</t>
  </si>
  <si>
    <t>Departamento De Producción-1</t>
  </si>
  <si>
    <t>Supervisor De Producción</t>
  </si>
  <si>
    <t>99022371</t>
  </si>
  <si>
    <t>Michelle Maria Izaguirre Barboza</t>
  </si>
  <si>
    <t>michelle.barboza@arcelormittal.com</t>
  </si>
  <si>
    <t>Especialista De Recursos Humanos</t>
  </si>
  <si>
    <t>99022367</t>
  </si>
  <si>
    <t>Miguel Angel Wepolt Serrano</t>
  </si>
  <si>
    <t>mwepolth@gmail.com</t>
  </si>
  <si>
    <t>99021567</t>
  </si>
  <si>
    <t>Miguel Garcia Rivera</t>
  </si>
  <si>
    <t>miguel.garciarivera@arcelormittal.com</t>
  </si>
  <si>
    <t>Supervisor De Área De Precisión</t>
  </si>
  <si>
    <t>99022261</t>
  </si>
  <si>
    <t>Milagro Morales Retana</t>
  </si>
  <si>
    <t>milagros.retana@arcelormittal.com</t>
  </si>
  <si>
    <t>Coordinadora Comunicación Interna Y Rse</t>
  </si>
  <si>
    <t>99022221</t>
  </si>
  <si>
    <t>Nicolas Cesar Broggi</t>
  </si>
  <si>
    <t>nicolas.broggi@arcelormittal.com</t>
  </si>
  <si>
    <t>Gerente Comercial Centroamérica</t>
  </si>
  <si>
    <t>99022357</t>
  </si>
  <si>
    <t>Priscilla Alvarado Solano</t>
  </si>
  <si>
    <t>priscilla.alvarado@arcelormittal.com</t>
  </si>
  <si>
    <t>99022464</t>
  </si>
  <si>
    <t>Rafael Esteban Salas Ramirez</t>
  </si>
  <si>
    <t>salasramirezesteban@gmail.com</t>
  </si>
  <si>
    <t>99022400</t>
  </si>
  <si>
    <t>Ramses Jimenez Salas</t>
  </si>
  <si>
    <t>99021714</t>
  </si>
  <si>
    <t>Randall Gerardo Ruiz Vargas</t>
  </si>
  <si>
    <t>Supervisor De Control De Calidad</t>
  </si>
  <si>
    <t>99021485</t>
  </si>
  <si>
    <t>Randall Vega Rodriguez</t>
  </si>
  <si>
    <t>Encargado De Bodega De Despacho</t>
  </si>
  <si>
    <t>99018556</t>
  </si>
  <si>
    <t>Randy Sandoval Espinoza</t>
  </si>
  <si>
    <t>randy.sandoval@arcelormittal.com</t>
  </si>
  <si>
    <t>99022436</t>
  </si>
  <si>
    <t>Raynier Fernandez Aguilar</t>
  </si>
  <si>
    <t>99022406</t>
  </si>
  <si>
    <t>Reimond Najera Badilla</t>
  </si>
  <si>
    <t>Operador De Pupitre Principal</t>
  </si>
  <si>
    <t>99022001</t>
  </si>
  <si>
    <t>Ricardo Wepold Rojas</t>
  </si>
  <si>
    <t>Supervisor De Área Eléctrica</t>
  </si>
  <si>
    <t>99021717</t>
  </si>
  <si>
    <t>Roberto Gonzalez Larrad</t>
  </si>
  <si>
    <t>Asistente De Planeamiento De Ingeniería</t>
  </si>
  <si>
    <t>99021556</t>
  </si>
  <si>
    <t>Roberto Monge Vargas</t>
  </si>
  <si>
    <t>99022332</t>
  </si>
  <si>
    <t>Roberto Villalobos Blanco</t>
  </si>
  <si>
    <t>robertovillalobos843@gmail.com</t>
  </si>
  <si>
    <t>99022314</t>
  </si>
  <si>
    <t>Rodrigo Augusto Archer</t>
  </si>
  <si>
    <t>rodrigo.archer@arcelormittal.com</t>
  </si>
  <si>
    <t>Dirección Ejecutiva</t>
  </si>
  <si>
    <t>Gerente De País</t>
  </si>
  <si>
    <t>99022465</t>
  </si>
  <si>
    <t>Rodrigo Gonzalez Cardenas</t>
  </si>
  <si>
    <t>rg15287@gmail.com</t>
  </si>
  <si>
    <t>99021419</t>
  </si>
  <si>
    <t>Roger Alejandro Gomez Calvo</t>
  </si>
  <si>
    <t>99022421</t>
  </si>
  <si>
    <t>Roig Rojas Chacon</t>
  </si>
  <si>
    <t>roig.chacon@arcelormittal.com</t>
  </si>
  <si>
    <t>99022450</t>
  </si>
  <si>
    <t>Rojairo Leon Jimenez</t>
  </si>
  <si>
    <t>rojairoleon10@gmail.com</t>
  </si>
  <si>
    <t>99022385</t>
  </si>
  <si>
    <t>Rolando Quiros Hernandez</t>
  </si>
  <si>
    <t>rolando.hernandez@arcelormittal.com</t>
  </si>
  <si>
    <t>99021314</t>
  </si>
  <si>
    <t>Ronny Quesada Garita</t>
  </si>
  <si>
    <t>ronny.quesada@arcelormittal.com</t>
  </si>
  <si>
    <t>99022354</t>
  </si>
  <si>
    <t>Roy Gonzalez Guido</t>
  </si>
  <si>
    <t>roy.guido@arcelormittal.com.br</t>
  </si>
  <si>
    <t>99022344</t>
  </si>
  <si>
    <t>Ruben Barrantes Sanchez</t>
  </si>
  <si>
    <t>rubenbarrantex@gmail.com</t>
  </si>
  <si>
    <t>99022333</t>
  </si>
  <si>
    <t>Sergio Alonso Elizondo Guevara</t>
  </si>
  <si>
    <t>99022438</t>
  </si>
  <si>
    <t>Sergio Alvarado Gómez</t>
  </si>
  <si>
    <t>99022466</t>
  </si>
  <si>
    <t>Sergio Arias Martinez</t>
  </si>
  <si>
    <t>ariasmartinezsergio99@hotmail.com</t>
  </si>
  <si>
    <t>99022247</t>
  </si>
  <si>
    <t>Shady Mohmoud Viquez</t>
  </si>
  <si>
    <t>shady.viquez@arcelormittal.com</t>
  </si>
  <si>
    <t>99022152</t>
  </si>
  <si>
    <t>Stanley Abrahams Moya</t>
  </si>
  <si>
    <t>stanley.35abrahams@gmail.com</t>
  </si>
  <si>
    <t>99021495</t>
  </si>
  <si>
    <t>Steven Gutierrez Villalobos</t>
  </si>
  <si>
    <t>steven.gutierrez@arcelormittal.com</t>
  </si>
  <si>
    <t>99022379</t>
  </si>
  <si>
    <t>Victor Joseph Chinchilla Sanchez</t>
  </si>
  <si>
    <t>99021622</t>
  </si>
  <si>
    <t>Victor Manuel Jimenez Mora</t>
  </si>
  <si>
    <t>victor.jimenez@arcelormittal.com</t>
  </si>
  <si>
    <t>99022208</t>
  </si>
  <si>
    <t>Walter Jesus Soto Juarez</t>
  </si>
  <si>
    <t>waso08@live.com</t>
  </si>
  <si>
    <t>99022352</t>
  </si>
  <si>
    <t>Warren Cordero Rios</t>
  </si>
  <si>
    <t>99022380</t>
  </si>
  <si>
    <t>Wedel Jesus Jimenez Soto</t>
  </si>
  <si>
    <t>Xinnia Quesada Garita</t>
  </si>
  <si>
    <t>99021371</t>
  </si>
  <si>
    <t>Gilbert Navarro Guillen</t>
  </si>
  <si>
    <t>gilbert.navarro@arcelormittal.com</t>
  </si>
  <si>
    <t>-</t>
  </si>
  <si>
    <t>99022456</t>
  </si>
  <si>
    <t>Vanessa Suarez Gonzalez</t>
  </si>
  <si>
    <t>vanessa.suarez@arcelormittal.com</t>
  </si>
  <si>
    <t>Especialista De Productos Planos</t>
  </si>
  <si>
    <t>99022467</t>
  </si>
  <si>
    <t>Victor Hugo Castillo Martinez</t>
  </si>
  <si>
    <t>victorcastillo1688@gmail.com</t>
  </si>
  <si>
    <t>Bodeguero</t>
  </si>
  <si>
    <t>Ayudante de laminación</t>
  </si>
  <si>
    <t>codigo_puesto</t>
  </si>
  <si>
    <t>20200327003050207</t>
  </si>
  <si>
    <t>analista comercial</t>
  </si>
  <si>
    <t>20200327003057917</t>
  </si>
  <si>
    <t>analista contable junior</t>
  </si>
  <si>
    <t>20201127031815737</t>
  </si>
  <si>
    <t>analista de canales digitales</t>
  </si>
  <si>
    <t>20200327003105802</t>
  </si>
  <si>
    <t>analista de controlling senior</t>
  </si>
  <si>
    <t>20200327003112263</t>
  </si>
  <si>
    <t>analista de credito &amp; cobro</t>
  </si>
  <si>
    <t>20200327003118534</t>
  </si>
  <si>
    <t>analista de logistica</t>
  </si>
  <si>
    <t>20200327003124647</t>
  </si>
  <si>
    <t>analista de ventas</t>
  </si>
  <si>
    <t>20200327003130876</t>
  </si>
  <si>
    <t>analista de ventas - log. red disrtrib.</t>
  </si>
  <si>
    <t>20201202222526664</t>
  </si>
  <si>
    <t>analista inteligencia de mercados</t>
  </si>
  <si>
    <t>20200420163028466</t>
  </si>
  <si>
    <t>armador en robot</t>
  </si>
  <si>
    <t>20200327003137353</t>
  </si>
  <si>
    <t>asistente de planeamiento de ingeniería</t>
  </si>
  <si>
    <t>20200327003146385</t>
  </si>
  <si>
    <t>asistente de tesorería</t>
  </si>
  <si>
    <t>20210204153921318</t>
  </si>
  <si>
    <t>auxiliar cda</t>
  </si>
  <si>
    <t>20200417161610513</t>
  </si>
  <si>
    <t>auxiliar de bodega</t>
  </si>
  <si>
    <t>20200420163050758</t>
  </si>
  <si>
    <t>auxiliar de bodega - despacho</t>
  </si>
  <si>
    <t>20200422141559616</t>
  </si>
  <si>
    <t>auxiliar de bodega - materia prima</t>
  </si>
  <si>
    <t>20200423041020067</t>
  </si>
  <si>
    <t>auxiliar de bodega - repuestos</t>
  </si>
  <si>
    <t>20200421141406749</t>
  </si>
  <si>
    <t>20200422142253321</t>
  </si>
  <si>
    <t>ayudante de laminación</t>
  </si>
  <si>
    <t>20200421141550659</t>
  </si>
  <si>
    <t>comodín de evacuación</t>
  </si>
  <si>
    <t>20200327003151676</t>
  </si>
  <si>
    <t>comprador</t>
  </si>
  <si>
    <t>20200327003157038</t>
  </si>
  <si>
    <t>contador general</t>
  </si>
  <si>
    <t>20200420162947196</t>
  </si>
  <si>
    <t>controlador de colas</t>
  </si>
  <si>
    <t>20200805171607519</t>
  </si>
  <si>
    <t>controlador de mantos</t>
  </si>
  <si>
    <t>20200327003206118</t>
  </si>
  <si>
    <t>coordinador de compensación &amp; beneficios</t>
  </si>
  <si>
    <t>20200327003221968</t>
  </si>
  <si>
    <t>coordinador de información e innovación</t>
  </si>
  <si>
    <t>20200327003225306</t>
  </si>
  <si>
    <t>coordinador de planeamiento</t>
  </si>
  <si>
    <t>20200327003231211</t>
  </si>
  <si>
    <t>coordinador de recursos humanos</t>
  </si>
  <si>
    <t>20200327003238030</t>
  </si>
  <si>
    <t>coordinador de salud &amp; seguridad ocupac.</t>
  </si>
  <si>
    <t>20200327003245745</t>
  </si>
  <si>
    <t>coordinadora comunicación interna y rse</t>
  </si>
  <si>
    <t>20200327003255878</t>
  </si>
  <si>
    <t>coordinadora de recursos humanos</t>
  </si>
  <si>
    <t>20200420163020265</t>
  </si>
  <si>
    <t>cortador de muestras</t>
  </si>
  <si>
    <t>20200327003259082</t>
  </si>
  <si>
    <t>ejecutivo de ventas</t>
  </si>
  <si>
    <t>20200423041057461</t>
  </si>
  <si>
    <t>eléctrico de mantenimiento</t>
  </si>
  <si>
    <t>20200417161558898</t>
  </si>
  <si>
    <t>eléctrico del tren</t>
  </si>
  <si>
    <t>20200422141627188</t>
  </si>
  <si>
    <t>empaquetador</t>
  </si>
  <si>
    <t>20200327003340286</t>
  </si>
  <si>
    <t>encargado de bodega de despacho</t>
  </si>
  <si>
    <t>20200327003457260</t>
  </si>
  <si>
    <t>encargado de bodega de materia prima</t>
  </si>
  <si>
    <t>20200814152523580</t>
  </si>
  <si>
    <t>encargado de mantenimiento mecanico</t>
  </si>
  <si>
    <t>20200327003450734</t>
  </si>
  <si>
    <t>encargado de sitio de it</t>
  </si>
  <si>
    <t>20200402173821091</t>
  </si>
  <si>
    <t>especialista de inteligencia de mercados</t>
  </si>
  <si>
    <t>20200327003503714</t>
  </si>
  <si>
    <t>especialista de marketing</t>
  </si>
  <si>
    <t>20200402173724882</t>
  </si>
  <si>
    <t>especialista de productos largos</t>
  </si>
  <si>
    <t>20201203143626039</t>
  </si>
  <si>
    <t>especialista de productos planos</t>
  </si>
  <si>
    <t>20200327003511064</t>
  </si>
  <si>
    <t>especialista de recursos humanos</t>
  </si>
  <si>
    <t>20200814154943654</t>
  </si>
  <si>
    <t>especialista de riesgos &amp; compliance</t>
  </si>
  <si>
    <t>20200826230954047</t>
  </si>
  <si>
    <t>especialista inteligencia de mercados</t>
  </si>
  <si>
    <t>20200422141633955</t>
  </si>
  <si>
    <t>estibador</t>
  </si>
  <si>
    <t>20200417161632432</t>
  </si>
  <si>
    <t>20210113144702850</t>
  </si>
  <si>
    <t>facturador - despachador</t>
  </si>
  <si>
    <t>20200327003520062</t>
  </si>
  <si>
    <t>gerente comercial centroamérica</t>
  </si>
  <si>
    <t>20200327003611059</t>
  </si>
  <si>
    <t>gerente de cadena de abastecimiento</t>
  </si>
  <si>
    <t>20200327003617922</t>
  </si>
  <si>
    <t>gerente de país</t>
  </si>
  <si>
    <t>20200327003624458</t>
  </si>
  <si>
    <t>gerente de producción</t>
  </si>
  <si>
    <t>20200814155113996</t>
  </si>
  <si>
    <t>gerente de proyectos &amp; asesoria tecnica</t>
  </si>
  <si>
    <t>20200327003632520</t>
  </si>
  <si>
    <t>gerente de rrhh, ti &amp; innovación</t>
  </si>
  <si>
    <t>20200327003530615</t>
  </si>
  <si>
    <t>gerente de área cdad. total y medio amb.</t>
  </si>
  <si>
    <t>20200327003544748</t>
  </si>
  <si>
    <t>gerente de área de compras</t>
  </si>
  <si>
    <t>20200327003554886</t>
  </si>
  <si>
    <t>gerente de área de logística</t>
  </si>
  <si>
    <t>20200327003605253</t>
  </si>
  <si>
    <t>gerente de área del centro distribución</t>
  </si>
  <si>
    <t>20200327003638294</t>
  </si>
  <si>
    <t>gerente financiero</t>
  </si>
  <si>
    <t>20200423041122712</t>
  </si>
  <si>
    <t>gruero de despacho</t>
  </si>
  <si>
    <t>20200422142133410</t>
  </si>
  <si>
    <t>gruero de laminación</t>
  </si>
  <si>
    <t>20200422141615127</t>
  </si>
  <si>
    <t>gruero de materia prima</t>
  </si>
  <si>
    <t>20200420162958070</t>
  </si>
  <si>
    <t>hornero</t>
  </si>
  <si>
    <t>20200327003642857</t>
  </si>
  <si>
    <t>ingeniero de procesos</t>
  </si>
  <si>
    <t>20200420163014908</t>
  </si>
  <si>
    <t>20200420162934971</t>
  </si>
  <si>
    <t>mecánico de armado de cajas</t>
  </si>
  <si>
    <t>20200420145213549</t>
  </si>
  <si>
    <t>mecánico de cnc</t>
  </si>
  <si>
    <t>20200805164858573</t>
  </si>
  <si>
    <t>mecánico de convencional</t>
  </si>
  <si>
    <t>20200420145141188</t>
  </si>
  <si>
    <t>mecánico de corrugadora</t>
  </si>
  <si>
    <t>20200420145159295</t>
  </si>
  <si>
    <t>mecánico de guías</t>
  </si>
  <si>
    <t>20200421141443430</t>
  </si>
  <si>
    <t>mecánico de mantenimiento</t>
  </si>
  <si>
    <t>20200423041039071</t>
  </si>
  <si>
    <t>mecánico de robot</t>
  </si>
  <si>
    <t>20200421141512071</t>
  </si>
  <si>
    <t>mecánico del tren</t>
  </si>
  <si>
    <t>20200420162940664</t>
  </si>
  <si>
    <t>operador de atadoras</t>
  </si>
  <si>
    <t>20200814152835755</t>
  </si>
  <si>
    <t>operador de atadoras y etiquetado</t>
  </si>
  <si>
    <t>20200421141253954</t>
  </si>
  <si>
    <t>operador de etiquetado</t>
  </si>
  <si>
    <t>20200422141652578</t>
  </si>
  <si>
    <t>operador de planta de aguas</t>
  </si>
  <si>
    <t>20200729125934804</t>
  </si>
  <si>
    <t>operador de pupitre laminación</t>
  </si>
  <si>
    <t>20200421141321733</t>
  </si>
  <si>
    <t>operador de pupitre principal</t>
  </si>
  <si>
    <t>20200420163004869</t>
  </si>
  <si>
    <t>operador de t-04</t>
  </si>
  <si>
    <t>20200422142211690</t>
  </si>
  <si>
    <t>operario del proceso</t>
  </si>
  <si>
    <t>20200327003650436</t>
  </si>
  <si>
    <t>planeer de mantenimiento</t>
  </si>
  <si>
    <t>20200722223741450</t>
  </si>
  <si>
    <t>planner de mantenimiento</t>
  </si>
  <si>
    <t>20200327003657679</t>
  </si>
  <si>
    <t>programador de laminación</t>
  </si>
  <si>
    <t>20200327003703461</t>
  </si>
  <si>
    <t>recepcionista</t>
  </si>
  <si>
    <t>20200427145326627</t>
  </si>
  <si>
    <t>20200421235412025</t>
  </si>
  <si>
    <t>respondedor de varilla</t>
  </si>
  <si>
    <t>20200420145206646</t>
  </si>
  <si>
    <t>soldador de guiado</t>
  </si>
  <si>
    <t>20200427145209009</t>
  </si>
  <si>
    <t>soldador de laminación</t>
  </si>
  <si>
    <t>20200327003740575</t>
  </si>
  <si>
    <t>supervisor de bodega &amp; materiales</t>
  </si>
  <si>
    <t>20200327003747515</t>
  </si>
  <si>
    <t>supervisor de bodega - cda</t>
  </si>
  <si>
    <t>20200722221919895</t>
  </si>
  <si>
    <t>supervisor de compras &amp; materiales</t>
  </si>
  <si>
    <t>20200728224548806</t>
  </si>
  <si>
    <t>20200327003753844</t>
  </si>
  <si>
    <t>supervisor de compras - ofc</t>
  </si>
  <si>
    <t>20200327003758723</t>
  </si>
  <si>
    <t>supervisor de compras - pl</t>
  </si>
  <si>
    <t>20200327003803715</t>
  </si>
  <si>
    <t>supervisor de control de calidad</t>
  </si>
  <si>
    <t>20200327003811008</t>
  </si>
  <si>
    <t>supervisor de logística</t>
  </si>
  <si>
    <t>20200327003820704</t>
  </si>
  <si>
    <t>supervisor de planeación transporte mi &amp; me</t>
  </si>
  <si>
    <t>20200327003827250</t>
  </si>
  <si>
    <t>supervisor de producción</t>
  </si>
  <si>
    <t>20200327003712723</t>
  </si>
  <si>
    <t>supervisor de área de precisión</t>
  </si>
  <si>
    <t>20200327003724410</t>
  </si>
  <si>
    <t>supervisor de área eléctrica</t>
  </si>
  <si>
    <t>20200327003735606</t>
  </si>
  <si>
    <t>supervisor de área mecánica</t>
  </si>
  <si>
    <t>Eletricista</t>
  </si>
  <si>
    <t>Departamentos</t>
  </si>
  <si>
    <t>Areas</t>
  </si>
  <si>
    <t>Código Capacitación</t>
  </si>
  <si>
    <t>Area</t>
  </si>
  <si>
    <t>Necesidad de Formación</t>
  </si>
  <si>
    <t>Propuesta de información o capacitación</t>
  </si>
  <si>
    <t>Objetivo</t>
  </si>
  <si>
    <t>Participante</t>
  </si>
  <si>
    <t>Codigo Colaborador</t>
  </si>
  <si>
    <t>Tipo</t>
  </si>
  <si>
    <t>Instructor</t>
  </si>
  <si>
    <t>Trabajadores</t>
  </si>
  <si>
    <t>Participantes</t>
  </si>
  <si>
    <t>Fecha inicial</t>
  </si>
  <si>
    <t>Interno</t>
  </si>
  <si>
    <t>Externo</t>
  </si>
  <si>
    <t>Si no Participante</t>
  </si>
  <si>
    <t>RPA Modificar</t>
  </si>
  <si>
    <t>Fecha Requerimiento</t>
  </si>
  <si>
    <t>Fecha Revisada</t>
  </si>
  <si>
    <t>Fecha concluida</t>
  </si>
  <si>
    <t>PRD-1</t>
  </si>
  <si>
    <t>necesidad formacion</t>
  </si>
  <si>
    <t>propuesta de info</t>
  </si>
  <si>
    <t>objetivo4</t>
  </si>
  <si>
    <t>Revisando</t>
  </si>
  <si>
    <t>Agregar participante nuevo del triple x</t>
  </si>
  <si>
    <t>Ver si falta o no</t>
  </si>
  <si>
    <t>Codigo capacitacion</t>
  </si>
  <si>
    <t>Notas</t>
  </si>
  <si>
    <t>codigo diciplinario</t>
  </si>
  <si>
    <t>Eventos</t>
  </si>
  <si>
    <t>Informacion de eventos</t>
  </si>
  <si>
    <t>Fecha Req</t>
  </si>
  <si>
    <t>PRD_99021314_1</t>
  </si>
  <si>
    <t>Evonto</t>
  </si>
  <si>
    <t>info the event</t>
  </si>
  <si>
    <t>Erick Quesada Jimenez</t>
  </si>
  <si>
    <t>PRD_111_2</t>
  </si>
  <si>
    <t>Editado RPA</t>
  </si>
  <si>
    <t>Fecha Conclucion</t>
  </si>
  <si>
    <t>Fecha Anulacion</t>
  </si>
  <si>
    <t>Vencimiento Cedula</t>
  </si>
  <si>
    <t>Codigo Cedula</t>
  </si>
  <si>
    <t>Direccion</t>
  </si>
  <si>
    <t>hhhhhhhhhhhhhhhhhhhhhhhhhhhhhhhhhhhhhhhhhh</t>
  </si>
  <si>
    <t>awdwadwa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</si>
</sst>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 tint="0.39997558519241921"/>
      </left>
      <right/>
      <top style="thin">
        <color theme="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6" fillId="7" borderId="0" applyNumberFormat="0" applyBorder="0" applyAlignment="0" applyProtection="0"/>
  </cellStyleXfs>
  <cellXfs count="44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 vertical="center"/>
    </xf>
    <xf numFmtId="14" fontId="1" fillId="0" borderId="0" xfId="0" applyNumberFormat="1" applyFont="1"/>
    <xf numFmtId="0" fontId="1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0" fillId="0" borderId="0" xfId="0" applyNumberFormat="1"/>
    <xf numFmtId="0" fontId="0" fillId="0" borderId="0" xfId="0" applyAlignment="1">
      <alignment horizontal="center"/>
    </xf>
    <xf numFmtId="0" fontId="0" fillId="3" borderId="0" xfId="0" applyFill="1"/>
    <xf numFmtId="0" fontId="1" fillId="0" borderId="0" xfId="0" applyNumberFormat="1" applyFont="1"/>
    <xf numFmtId="0" fontId="0" fillId="0" borderId="1" xfId="0" applyNumberFormat="1" applyFont="1" applyBorder="1"/>
    <xf numFmtId="0" fontId="0" fillId="4" borderId="1" xfId="0" applyNumberFormat="1" applyFont="1" applyFill="1" applyBorder="1"/>
    <xf numFmtId="0" fontId="0" fillId="4" borderId="2" xfId="0" applyNumberFormat="1" applyFont="1" applyFill="1" applyBorder="1"/>
    <xf numFmtId="0" fontId="0" fillId="0" borderId="2" xfId="0" applyNumberFormat="1" applyFont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/>
    <xf numFmtId="0" fontId="4" fillId="0" borderId="0" xfId="0" applyFont="1"/>
    <xf numFmtId="0" fontId="5" fillId="0" borderId="0" xfId="0" applyFont="1"/>
    <xf numFmtId="0" fontId="3" fillId="5" borderId="4" xfId="0" applyFont="1" applyFill="1" applyBorder="1"/>
    <xf numFmtId="0" fontId="4" fillId="5" borderId="0" xfId="0" applyFont="1" applyFill="1" applyBorder="1"/>
    <xf numFmtId="0" fontId="3" fillId="5" borderId="5" xfId="0" applyFont="1" applyFill="1" applyBorder="1"/>
    <xf numFmtId="0" fontId="0" fillId="6" borderId="6" xfId="0" applyFont="1" applyFill="1" applyBorder="1"/>
    <xf numFmtId="0" fontId="0" fillId="6" borderId="7" xfId="0" applyFont="1" applyFill="1" applyBorder="1"/>
    <xf numFmtId="14" fontId="0" fillId="6" borderId="8" xfId="0" applyNumberFormat="1" applyFont="1" applyFill="1" applyBorder="1"/>
    <xf numFmtId="0" fontId="0" fillId="0" borderId="6" xfId="0" applyFont="1" applyBorder="1"/>
    <xf numFmtId="0" fontId="0" fillId="0" borderId="7" xfId="0" applyFont="1" applyBorder="1"/>
    <xf numFmtId="14" fontId="0" fillId="0" borderId="8" xfId="0" applyNumberFormat="1" applyFont="1" applyBorder="1"/>
    <xf numFmtId="14" fontId="0" fillId="7" borderId="3" xfId="1" applyNumberFormat="1" applyFont="1" applyFill="1" applyBorder="1"/>
    <xf numFmtId="14" fontId="0" fillId="7" borderId="4" xfId="1" applyNumberFormat="1" applyFont="1" applyFill="1" applyBorder="1"/>
    <xf numFmtId="0" fontId="0" fillId="7" borderId="9" xfId="1" applyFont="1" applyFill="1" applyBorder="1"/>
    <xf numFmtId="14" fontId="0" fillId="6" borderId="3" xfId="1" applyNumberFormat="1" applyFont="1" applyFill="1" applyBorder="1"/>
    <xf numFmtId="14" fontId="6" fillId="8" borderId="4" xfId="1" applyNumberFormat="1" applyFill="1" applyBorder="1"/>
    <xf numFmtId="0" fontId="0" fillId="8" borderId="9" xfId="1" applyFont="1" applyFill="1" applyBorder="1"/>
    <xf numFmtId="0" fontId="6" fillId="6" borderId="10" xfId="1" applyFill="1" applyBorder="1"/>
    <xf numFmtId="0" fontId="6" fillId="6" borderId="11" xfId="1" applyFill="1" applyBorder="1"/>
    <xf numFmtId="0" fontId="0" fillId="6" borderId="11" xfId="1" applyFont="1" applyFill="1" applyBorder="1"/>
    <xf numFmtId="14" fontId="6" fillId="8" borderId="3" xfId="1" applyNumberFormat="1" applyFill="1" applyBorder="1"/>
    <xf numFmtId="14" fontId="6" fillId="6" borderId="3" xfId="1" applyNumberFormat="1" applyFill="1" applyBorder="1"/>
    <xf numFmtId="0" fontId="3" fillId="5" borderId="0" xfId="0" applyFont="1" applyFill="1" applyBorder="1"/>
    <xf numFmtId="0" fontId="4" fillId="5" borderId="0" xfId="0" applyFont="1" applyFill="1"/>
    <xf numFmtId="0" fontId="5" fillId="0" borderId="0" xfId="0" applyFont="1" applyBorder="1"/>
    <xf numFmtId="22" fontId="0" fillId="0" borderId="0" xfId="0" applyNumberFormat="1"/>
  </cellXfs>
  <cellStyles count="2">
    <cellStyle name="20% - Énfasis1" xfId="1" builtinId="30"/>
    <cellStyle name="Normal" xfId="0" builtinId="0"/>
  </cellStyles>
  <dxfs count="34"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numFmt numFmtId="19" formatCode="d/m/yyyy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19" formatCode="d/m/yyyy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19" formatCode="d/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/m/yyyy"/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/m/yyyy"/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/m/yyyy"/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19" formatCode="d/m/yyyy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180975</xdr:rowOff>
        </xdr:from>
        <xdr:to>
          <xdr:col>3</xdr:col>
          <xdr:colOff>9525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osExternos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digo_puesto" tableColumnId="1"/>
      <queryTableField id="2" name="nombre" tableColumnId="2"/>
    </queryTableFields>
  </queryTableRefresh>
</queryTable>
</file>

<file path=xl/queryTables/queryTable2.xml><?xml version="1.0" encoding="utf-8"?>
<queryTable xmlns="http://schemas.openxmlformats.org/spreadsheetml/2006/main" name="DatosExternos_1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codigo_colaborador" tableColumnId="1"/>
      <queryTableField id="2" name="nombre" tableColumnId="2"/>
      <queryTableField id="3" name="correo" tableColumnId="3"/>
      <queryTableField id="4" name="nombre_departamento" tableColumnId="4"/>
      <queryTableField id="5" name="fecha_de_ingreso" tableColumnId="5"/>
      <queryTableField id="6" name="dias_disponibles" tableColumnId="6"/>
      <queryTableField id="7" name="fecha_de_nacimiento" tableColumnId="7"/>
      <queryTableField id="8" name="area" tableColumnId="8"/>
      <queryTableField id="9" name="Puesto Trabajo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Puestos_de_trabajo" displayName="Puestos_de_trabajo" ref="A1:B105" tableType="queryTable" totalsRowShown="0">
  <autoFilter ref="A1:B105"/>
  <tableColumns count="2">
    <tableColumn id="1" uniqueName="1" name="codigo_puesto" queryTableFieldId="1" dataDxfId="33"/>
    <tableColumn id="2" uniqueName="2" name="nombre" queryTableFieldId="2" dataDxfId="3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Colaboradores_y_dias_de_vacas" displayName="Colaboradores_y_dias_de_vacas" ref="A1:I159" tableType="queryTable" totalsRowShown="0">
  <autoFilter ref="A1:I159"/>
  <sortState ref="A2:I159">
    <sortCondition ref="E1:E159"/>
  </sortState>
  <tableColumns count="9">
    <tableColumn id="1" uniqueName="1" name="codigo_colaborador" queryTableFieldId="1" dataDxfId="31"/>
    <tableColumn id="2" uniqueName="2" name="nombre" queryTableFieldId="2" dataDxfId="30"/>
    <tableColumn id="3" uniqueName="3" name="correo" queryTableFieldId="3" dataDxfId="29"/>
    <tableColumn id="4" uniqueName="4" name="nombre_departamento" queryTableFieldId="4" dataDxfId="28"/>
    <tableColumn id="5" uniqueName="5" name="fecha_de_ingreso" queryTableFieldId="5" dataDxfId="27"/>
    <tableColumn id="6" uniqueName="6" name="dias_disponibles" queryTableFieldId="6"/>
    <tableColumn id="7" uniqueName="7" name="fecha_de_nacimiento" queryTableFieldId="7" dataDxfId="26"/>
    <tableColumn id="8" uniqueName="8" name="area" queryTableFieldId="8" dataDxfId="25"/>
    <tableColumn id="9" uniqueName="9" name="Puesto Trabajo" queryTableFieldId="9" dataDxf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1:R4" totalsRowShown="0" headerRowDxfId="23" tableBorderDxfId="22">
  <autoFilter ref="A1:R4"/>
  <tableColumns count="18">
    <tableColumn id="2" name="Código Capacitación" dataDxfId="21" dataCellStyle="20% - Énfasis1"/>
    <tableColumn id="3" name="Departamento" dataDxfId="20" dataCellStyle="20% - Énfasis1"/>
    <tableColumn id="4" name="Area" dataDxfId="19" dataCellStyle="20% - Énfasis1"/>
    <tableColumn id="5" name="Necesidad de Formación" dataDxfId="18" dataCellStyle="20% - Énfasis1"/>
    <tableColumn id="6" name="Propuesta de información o capacitación" dataDxfId="17" dataCellStyle="20% - Énfasis1"/>
    <tableColumn id="7" name="Objetivo" dataDxfId="16" dataCellStyle="20% - Énfasis1"/>
    <tableColumn id="8" name="Participante" dataDxfId="15" dataCellStyle="20% - Énfasis1"/>
    <tableColumn id="9" name="Codigo Colaborador" dataDxfId="14" dataCellStyle="20% - Énfasis1"/>
    <tableColumn id="10" name="Estado" dataDxfId="13" dataCellStyle="20% - Énfasis1"/>
    <tableColumn id="11" name="Tipo" dataDxfId="12" dataCellStyle="20% - Énfasis1"/>
    <tableColumn id="12" name="Instructor" dataDxfId="11" dataCellStyle="20% - Énfasis1"/>
    <tableColumn id="13" name="Fecha inicial" dataDxfId="10" dataCellStyle="20% - Énfasis1"/>
    <tableColumn id="1" name="Fecha final" dataDxfId="9" dataCellStyle="20% - Énfasis1"/>
    <tableColumn id="15" name="Fecha Requerimiento" dataDxfId="8" dataCellStyle="20% - Énfasis1"/>
    <tableColumn id="17" name="Fecha Revisada" dataDxfId="7" dataCellStyle="20% - Énfasis1"/>
    <tableColumn id="18" name="Fecha concluida" dataDxfId="6" dataCellStyle="20% - Énfasis1"/>
    <tableColumn id="14" name="RPA Modificar" dataDxfId="5" dataCellStyle="20% - Énfasis1"/>
    <tableColumn id="16" name="Notas" dataDxfId="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1:J3" totalsRowShown="0">
  <autoFilter ref="A1:J3"/>
  <tableColumns count="10">
    <tableColumn id="1" name="Codigo Colaborador"/>
    <tableColumn id="2" name="Nombre"/>
    <tableColumn id="3" name="codigo diciplinario"/>
    <tableColumn id="4" name="Eventos"/>
    <tableColumn id="5" name="Informacion de eventos"/>
    <tableColumn id="6" name="Fecha Req" dataDxfId="3"/>
    <tableColumn id="7" name="Editado RPA"/>
    <tableColumn id="8" name="Estado"/>
    <tableColumn id="9" name="Fecha Conclucion" dataDxfId="2"/>
    <tableColumn id="10" name="Fecha Anulacion" dataDxfId="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A1:G3" totalsRowShown="0">
  <autoFilter ref="A1:G3"/>
  <tableColumns count="7">
    <tableColumn id="1" name="Codigo Colaborador"/>
    <tableColumn id="2" name="Nombre"/>
    <tableColumn id="3" name="codigo diciplinario"/>
    <tableColumn id="4" name="Eventos"/>
    <tableColumn id="5" name="Informacion de eventos"/>
    <tableColumn id="6" name="Fecha Req" dataDxfId="0"/>
    <tableColumn id="7" name="Estad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F41"/>
  <sheetViews>
    <sheetView tabSelected="1" workbookViewId="0">
      <selection activeCell="E27" sqref="E27"/>
    </sheetView>
  </sheetViews>
  <sheetFormatPr baseColWidth="10" defaultColWidth="9.140625" defaultRowHeight="15" x14ac:dyDescent="0.25"/>
  <sheetData>
    <row r="41" spans="6:6" x14ac:dyDescent="0.25">
      <c r="F41" s="9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Haga_clic_en">
                <anchor moveWithCells="1" sizeWithCells="1">
                  <from>
                    <xdr:col>0</xdr:col>
                    <xdr:colOff>19050</xdr:colOff>
                    <xdr:row>0</xdr:row>
                    <xdr:rowOff>180975</xdr:rowOff>
                  </from>
                  <to>
                    <xdr:col>3</xdr:col>
                    <xdr:colOff>9525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05"/>
  <sheetViews>
    <sheetView workbookViewId="0">
      <selection activeCell="B105" sqref="B105"/>
    </sheetView>
  </sheetViews>
  <sheetFormatPr baseColWidth="10" defaultRowHeight="15" x14ac:dyDescent="0.25"/>
  <cols>
    <col min="1" max="1" width="18.140625" bestFit="1" customWidth="1"/>
    <col min="2" max="2" width="41.42578125" bestFit="1" customWidth="1"/>
  </cols>
  <sheetData>
    <row r="1" spans="1:2" x14ac:dyDescent="0.25">
      <c r="A1" t="s">
        <v>1976</v>
      </c>
      <c r="B1" t="s">
        <v>1429</v>
      </c>
    </row>
    <row r="2" spans="1:2" x14ac:dyDescent="0.25">
      <c r="A2" s="8" t="s">
        <v>1977</v>
      </c>
      <c r="B2" s="8" t="s">
        <v>1978</v>
      </c>
    </row>
    <row r="3" spans="1:2" x14ac:dyDescent="0.25">
      <c r="A3" s="8" t="s">
        <v>1979</v>
      </c>
      <c r="B3" s="8" t="s">
        <v>1980</v>
      </c>
    </row>
    <row r="4" spans="1:2" x14ac:dyDescent="0.25">
      <c r="A4" s="8" t="s">
        <v>1981</v>
      </c>
      <c r="B4" s="8" t="s">
        <v>1982</v>
      </c>
    </row>
    <row r="5" spans="1:2" x14ac:dyDescent="0.25">
      <c r="A5" s="8" t="s">
        <v>1983</v>
      </c>
      <c r="B5" s="8" t="s">
        <v>1984</v>
      </c>
    </row>
    <row r="6" spans="1:2" x14ac:dyDescent="0.25">
      <c r="A6" s="8" t="s">
        <v>1985</v>
      </c>
      <c r="B6" s="8" t="s">
        <v>1986</v>
      </c>
    </row>
    <row r="7" spans="1:2" x14ac:dyDescent="0.25">
      <c r="A7" s="8" t="s">
        <v>1987</v>
      </c>
      <c r="B7" s="8" t="s">
        <v>1988</v>
      </c>
    </row>
    <row r="8" spans="1:2" x14ac:dyDescent="0.25">
      <c r="A8" s="8" t="s">
        <v>1989</v>
      </c>
      <c r="B8" s="8" t="s">
        <v>1990</v>
      </c>
    </row>
    <row r="9" spans="1:2" x14ac:dyDescent="0.25">
      <c r="A9" s="8" t="s">
        <v>1991</v>
      </c>
      <c r="B9" s="8" t="s">
        <v>1992</v>
      </c>
    </row>
    <row r="10" spans="1:2" x14ac:dyDescent="0.25">
      <c r="A10" s="8" t="s">
        <v>1993</v>
      </c>
      <c r="B10" s="8" t="s">
        <v>1994</v>
      </c>
    </row>
    <row r="11" spans="1:2" x14ac:dyDescent="0.25">
      <c r="A11" s="8" t="s">
        <v>1995</v>
      </c>
      <c r="B11" s="8" t="s">
        <v>1996</v>
      </c>
    </row>
    <row r="12" spans="1:2" x14ac:dyDescent="0.25">
      <c r="A12" s="8" t="s">
        <v>1997</v>
      </c>
      <c r="B12" s="8" t="s">
        <v>1998</v>
      </c>
    </row>
    <row r="13" spans="1:2" x14ac:dyDescent="0.25">
      <c r="A13" s="8" t="s">
        <v>1999</v>
      </c>
      <c r="B13" s="8" t="s">
        <v>2000</v>
      </c>
    </row>
    <row r="14" spans="1:2" x14ac:dyDescent="0.25">
      <c r="A14" s="8" t="s">
        <v>2001</v>
      </c>
      <c r="B14" s="8" t="s">
        <v>2002</v>
      </c>
    </row>
    <row r="15" spans="1:2" x14ac:dyDescent="0.25">
      <c r="A15" s="8" t="s">
        <v>2003</v>
      </c>
      <c r="B15" s="8" t="s">
        <v>2004</v>
      </c>
    </row>
    <row r="16" spans="1:2" x14ac:dyDescent="0.25">
      <c r="A16" s="8" t="s">
        <v>2005</v>
      </c>
      <c r="B16" s="8" t="s">
        <v>2006</v>
      </c>
    </row>
    <row r="17" spans="1:2" x14ac:dyDescent="0.25">
      <c r="A17" s="8" t="s">
        <v>2007</v>
      </c>
      <c r="B17" s="8" t="s">
        <v>2008</v>
      </c>
    </row>
    <row r="18" spans="1:2" x14ac:dyDescent="0.25">
      <c r="A18" s="8" t="s">
        <v>2009</v>
      </c>
      <c r="B18" s="8" t="s">
        <v>2010</v>
      </c>
    </row>
    <row r="19" spans="1:2" x14ac:dyDescent="0.25">
      <c r="A19" s="8" t="s">
        <v>2011</v>
      </c>
      <c r="B19" s="8" t="s">
        <v>425</v>
      </c>
    </row>
    <row r="20" spans="1:2" x14ac:dyDescent="0.25">
      <c r="A20" s="8" t="s">
        <v>2012</v>
      </c>
      <c r="B20" s="8" t="s">
        <v>2013</v>
      </c>
    </row>
    <row r="21" spans="1:2" x14ac:dyDescent="0.25">
      <c r="A21" s="8" t="s">
        <v>2014</v>
      </c>
      <c r="B21" s="8" t="s">
        <v>2015</v>
      </c>
    </row>
    <row r="22" spans="1:2" x14ac:dyDescent="0.25">
      <c r="A22" s="8" t="s">
        <v>2016</v>
      </c>
      <c r="B22" s="8" t="s">
        <v>2017</v>
      </c>
    </row>
    <row r="23" spans="1:2" x14ac:dyDescent="0.25">
      <c r="A23" s="8" t="s">
        <v>2018</v>
      </c>
      <c r="B23" s="8" t="s">
        <v>2019</v>
      </c>
    </row>
    <row r="24" spans="1:2" x14ac:dyDescent="0.25">
      <c r="A24" s="8" t="s">
        <v>2020</v>
      </c>
      <c r="B24" s="8" t="s">
        <v>2021</v>
      </c>
    </row>
    <row r="25" spans="1:2" x14ac:dyDescent="0.25">
      <c r="A25" s="8" t="s">
        <v>2022</v>
      </c>
      <c r="B25" s="8" t="s">
        <v>2023</v>
      </c>
    </row>
    <row r="26" spans="1:2" x14ac:dyDescent="0.25">
      <c r="A26" s="8" t="s">
        <v>2024</v>
      </c>
      <c r="B26" s="8" t="s">
        <v>2025</v>
      </c>
    </row>
    <row r="27" spans="1:2" x14ac:dyDescent="0.25">
      <c r="A27" s="8" t="s">
        <v>2026</v>
      </c>
      <c r="B27" s="8" t="s">
        <v>2027</v>
      </c>
    </row>
    <row r="28" spans="1:2" x14ac:dyDescent="0.25">
      <c r="A28" s="8" t="s">
        <v>2028</v>
      </c>
      <c r="B28" s="8" t="s">
        <v>2029</v>
      </c>
    </row>
    <row r="29" spans="1:2" x14ac:dyDescent="0.25">
      <c r="A29" s="8" t="s">
        <v>2030</v>
      </c>
      <c r="B29" s="8" t="s">
        <v>2031</v>
      </c>
    </row>
    <row r="30" spans="1:2" x14ac:dyDescent="0.25">
      <c r="A30" s="8" t="s">
        <v>2032</v>
      </c>
      <c r="B30" s="8" t="s">
        <v>2033</v>
      </c>
    </row>
    <row r="31" spans="1:2" x14ac:dyDescent="0.25">
      <c r="A31" s="8" t="s">
        <v>2034</v>
      </c>
      <c r="B31" s="8" t="s">
        <v>2035</v>
      </c>
    </row>
    <row r="32" spans="1:2" x14ac:dyDescent="0.25">
      <c r="A32" s="8" t="s">
        <v>2036</v>
      </c>
      <c r="B32" s="8" t="s">
        <v>2037</v>
      </c>
    </row>
    <row r="33" spans="1:2" x14ac:dyDescent="0.25">
      <c r="A33" s="8" t="s">
        <v>2038</v>
      </c>
      <c r="B33" s="8" t="s">
        <v>2039</v>
      </c>
    </row>
    <row r="34" spans="1:2" x14ac:dyDescent="0.25">
      <c r="A34" s="8" t="s">
        <v>2040</v>
      </c>
      <c r="B34" s="8" t="s">
        <v>2041</v>
      </c>
    </row>
    <row r="35" spans="1:2" x14ac:dyDescent="0.25">
      <c r="A35" s="8" t="s">
        <v>2042</v>
      </c>
      <c r="B35" s="8" t="s">
        <v>2043</v>
      </c>
    </row>
    <row r="36" spans="1:2" x14ac:dyDescent="0.25">
      <c r="A36" s="8" t="s">
        <v>2044</v>
      </c>
      <c r="B36" s="8" t="s">
        <v>2045</v>
      </c>
    </row>
    <row r="37" spans="1:2" x14ac:dyDescent="0.25">
      <c r="A37" s="8" t="s">
        <v>2046</v>
      </c>
      <c r="B37" s="8" t="s">
        <v>2047</v>
      </c>
    </row>
    <row r="38" spans="1:2" x14ac:dyDescent="0.25">
      <c r="A38" s="8" t="s">
        <v>2048</v>
      </c>
      <c r="B38" s="8" t="s">
        <v>2049</v>
      </c>
    </row>
    <row r="39" spans="1:2" x14ac:dyDescent="0.25">
      <c r="A39" s="8" t="s">
        <v>2050</v>
      </c>
      <c r="B39" s="8" t="s">
        <v>2051</v>
      </c>
    </row>
    <row r="40" spans="1:2" x14ac:dyDescent="0.25">
      <c r="A40" s="8" t="s">
        <v>2052</v>
      </c>
      <c r="B40" s="8" t="s">
        <v>2053</v>
      </c>
    </row>
    <row r="41" spans="1:2" x14ac:dyDescent="0.25">
      <c r="A41" s="8" t="s">
        <v>2054</v>
      </c>
      <c r="B41" s="8" t="s">
        <v>2055</v>
      </c>
    </row>
    <row r="42" spans="1:2" x14ac:dyDescent="0.25">
      <c r="A42" s="8" t="s">
        <v>2056</v>
      </c>
      <c r="B42" s="8" t="s">
        <v>2057</v>
      </c>
    </row>
    <row r="43" spans="1:2" x14ac:dyDescent="0.25">
      <c r="A43" s="8" t="s">
        <v>2058</v>
      </c>
      <c r="B43" s="8" t="s">
        <v>2059</v>
      </c>
    </row>
    <row r="44" spans="1:2" x14ac:dyDescent="0.25">
      <c r="A44" s="8" t="s">
        <v>2060</v>
      </c>
      <c r="B44" s="8" t="s">
        <v>2061</v>
      </c>
    </row>
    <row r="45" spans="1:2" x14ac:dyDescent="0.25">
      <c r="A45" s="8" t="s">
        <v>2062</v>
      </c>
      <c r="B45" s="8" t="s">
        <v>2063</v>
      </c>
    </row>
    <row r="46" spans="1:2" x14ac:dyDescent="0.25">
      <c r="A46" s="8" t="s">
        <v>2064</v>
      </c>
      <c r="B46" s="8" t="s">
        <v>2065</v>
      </c>
    </row>
    <row r="47" spans="1:2" x14ac:dyDescent="0.25">
      <c r="A47" s="8" t="s">
        <v>2066</v>
      </c>
      <c r="B47" s="8" t="s">
        <v>2067</v>
      </c>
    </row>
    <row r="48" spans="1:2" x14ac:dyDescent="0.25">
      <c r="A48" s="8" t="s">
        <v>2068</v>
      </c>
      <c r="B48" s="8" t="s">
        <v>2069</v>
      </c>
    </row>
    <row r="49" spans="1:2" x14ac:dyDescent="0.25">
      <c r="A49" s="8" t="s">
        <v>2070</v>
      </c>
      <c r="B49" s="8" t="s">
        <v>2071</v>
      </c>
    </row>
    <row r="50" spans="1:2" x14ac:dyDescent="0.25">
      <c r="A50" s="8" t="s">
        <v>2072</v>
      </c>
      <c r="B50" s="8" t="s">
        <v>315</v>
      </c>
    </row>
    <row r="51" spans="1:2" x14ac:dyDescent="0.25">
      <c r="A51" s="8" t="s">
        <v>2073</v>
      </c>
      <c r="B51" s="8" t="s">
        <v>2074</v>
      </c>
    </row>
    <row r="52" spans="1:2" x14ac:dyDescent="0.25">
      <c r="A52" s="8" t="s">
        <v>2075</v>
      </c>
      <c r="B52" s="8" t="s">
        <v>2076</v>
      </c>
    </row>
    <row r="53" spans="1:2" x14ac:dyDescent="0.25">
      <c r="A53" s="8" t="s">
        <v>2077</v>
      </c>
      <c r="B53" s="8" t="s">
        <v>2078</v>
      </c>
    </row>
    <row r="54" spans="1:2" x14ac:dyDescent="0.25">
      <c r="A54" s="8" t="s">
        <v>2079</v>
      </c>
      <c r="B54" s="8" t="s">
        <v>2080</v>
      </c>
    </row>
    <row r="55" spans="1:2" x14ac:dyDescent="0.25">
      <c r="A55" s="8" t="s">
        <v>2081</v>
      </c>
      <c r="B55" s="8" t="s">
        <v>2082</v>
      </c>
    </row>
    <row r="56" spans="1:2" x14ac:dyDescent="0.25">
      <c r="A56" s="8" t="s">
        <v>2083</v>
      </c>
      <c r="B56" s="8" t="s">
        <v>2084</v>
      </c>
    </row>
    <row r="57" spans="1:2" x14ac:dyDescent="0.25">
      <c r="A57" s="8" t="s">
        <v>2085</v>
      </c>
      <c r="B57" s="8" t="s">
        <v>2086</v>
      </c>
    </row>
    <row r="58" spans="1:2" x14ac:dyDescent="0.25">
      <c r="A58" s="8" t="s">
        <v>2087</v>
      </c>
      <c r="B58" s="8" t="s">
        <v>2088</v>
      </c>
    </row>
    <row r="59" spans="1:2" x14ac:dyDescent="0.25">
      <c r="A59" s="8" t="s">
        <v>2089</v>
      </c>
      <c r="B59" s="8" t="s">
        <v>2090</v>
      </c>
    </row>
    <row r="60" spans="1:2" x14ac:dyDescent="0.25">
      <c r="A60" s="8" t="s">
        <v>2091</v>
      </c>
      <c r="B60" s="8" t="s">
        <v>2092</v>
      </c>
    </row>
    <row r="61" spans="1:2" x14ac:dyDescent="0.25">
      <c r="A61" s="8" t="s">
        <v>2093</v>
      </c>
      <c r="B61" s="8" t="s">
        <v>2094</v>
      </c>
    </row>
    <row r="62" spans="1:2" x14ac:dyDescent="0.25">
      <c r="A62" s="8" t="s">
        <v>2095</v>
      </c>
      <c r="B62" s="8" t="s">
        <v>2096</v>
      </c>
    </row>
    <row r="63" spans="1:2" x14ac:dyDescent="0.25">
      <c r="A63" s="8" t="s">
        <v>2097</v>
      </c>
      <c r="B63" s="8" t="s">
        <v>2098</v>
      </c>
    </row>
    <row r="64" spans="1:2" x14ac:dyDescent="0.25">
      <c r="A64" s="8" t="s">
        <v>2099</v>
      </c>
      <c r="B64" s="8" t="s">
        <v>2100</v>
      </c>
    </row>
    <row r="65" spans="1:2" x14ac:dyDescent="0.25">
      <c r="A65" s="8" t="s">
        <v>2101</v>
      </c>
      <c r="B65" s="8" t="s">
        <v>2102</v>
      </c>
    </row>
    <row r="66" spans="1:2" x14ac:dyDescent="0.25">
      <c r="A66" s="8" t="s">
        <v>2103</v>
      </c>
      <c r="B66" s="8" t="s">
        <v>2104</v>
      </c>
    </row>
    <row r="67" spans="1:2" x14ac:dyDescent="0.25">
      <c r="A67" s="8" t="s">
        <v>2105</v>
      </c>
      <c r="B67" s="8" t="s">
        <v>2106</v>
      </c>
    </row>
    <row r="68" spans="1:2" x14ac:dyDescent="0.25">
      <c r="A68" s="8" t="s">
        <v>2107</v>
      </c>
      <c r="B68" s="8" t="s">
        <v>828</v>
      </c>
    </row>
    <row r="69" spans="1:2" x14ac:dyDescent="0.25">
      <c r="A69" s="8" t="s">
        <v>2108</v>
      </c>
      <c r="B69" s="8" t="s">
        <v>2109</v>
      </c>
    </row>
    <row r="70" spans="1:2" x14ac:dyDescent="0.25">
      <c r="A70" s="8" t="s">
        <v>2110</v>
      </c>
      <c r="B70" s="8" t="s">
        <v>2111</v>
      </c>
    </row>
    <row r="71" spans="1:2" x14ac:dyDescent="0.25">
      <c r="A71" s="8" t="s">
        <v>2112</v>
      </c>
      <c r="B71" s="8" t="s">
        <v>2113</v>
      </c>
    </row>
    <row r="72" spans="1:2" x14ac:dyDescent="0.25">
      <c r="A72" s="8" t="s">
        <v>2114</v>
      </c>
      <c r="B72" s="8" t="s">
        <v>2115</v>
      </c>
    </row>
    <row r="73" spans="1:2" x14ac:dyDescent="0.25">
      <c r="A73" s="8" t="s">
        <v>2116</v>
      </c>
      <c r="B73" s="8" t="s">
        <v>2117</v>
      </c>
    </row>
    <row r="74" spans="1:2" x14ac:dyDescent="0.25">
      <c r="A74" s="8" t="s">
        <v>2118</v>
      </c>
      <c r="B74" s="8" t="s">
        <v>2119</v>
      </c>
    </row>
    <row r="75" spans="1:2" x14ac:dyDescent="0.25">
      <c r="A75" s="8" t="s">
        <v>2120</v>
      </c>
      <c r="B75" s="8" t="s">
        <v>2121</v>
      </c>
    </row>
    <row r="76" spans="1:2" x14ac:dyDescent="0.25">
      <c r="A76" s="8" t="s">
        <v>2122</v>
      </c>
      <c r="B76" s="8" t="s">
        <v>2123</v>
      </c>
    </row>
    <row r="77" spans="1:2" x14ac:dyDescent="0.25">
      <c r="A77" s="8" t="s">
        <v>2124</v>
      </c>
      <c r="B77" s="8" t="s">
        <v>2125</v>
      </c>
    </row>
    <row r="78" spans="1:2" x14ac:dyDescent="0.25">
      <c r="A78" s="8" t="s">
        <v>2126</v>
      </c>
      <c r="B78" s="8" t="s">
        <v>2127</v>
      </c>
    </row>
    <row r="79" spans="1:2" x14ac:dyDescent="0.25">
      <c r="A79" s="8" t="s">
        <v>2128</v>
      </c>
      <c r="B79" s="8" t="s">
        <v>2129</v>
      </c>
    </row>
    <row r="80" spans="1:2" x14ac:dyDescent="0.25">
      <c r="A80" s="8" t="s">
        <v>2130</v>
      </c>
      <c r="B80" s="8" t="s">
        <v>2131</v>
      </c>
    </row>
    <row r="81" spans="1:2" x14ac:dyDescent="0.25">
      <c r="A81" s="8" t="s">
        <v>2132</v>
      </c>
      <c r="B81" s="8" t="s">
        <v>2133</v>
      </c>
    </row>
    <row r="82" spans="1:2" x14ac:dyDescent="0.25">
      <c r="A82" s="8" t="s">
        <v>2134</v>
      </c>
      <c r="B82" s="8" t="s">
        <v>2135</v>
      </c>
    </row>
    <row r="83" spans="1:2" x14ac:dyDescent="0.25">
      <c r="A83" s="8" t="s">
        <v>2136</v>
      </c>
      <c r="B83" s="8" t="s">
        <v>2137</v>
      </c>
    </row>
    <row r="84" spans="1:2" x14ac:dyDescent="0.25">
      <c r="A84" s="8" t="s">
        <v>2138</v>
      </c>
      <c r="B84" s="8" t="s">
        <v>2139</v>
      </c>
    </row>
    <row r="85" spans="1:2" x14ac:dyDescent="0.25">
      <c r="A85" s="8" t="s">
        <v>2140</v>
      </c>
      <c r="B85" s="8" t="s">
        <v>2141</v>
      </c>
    </row>
    <row r="86" spans="1:2" x14ac:dyDescent="0.25">
      <c r="A86" s="8" t="s">
        <v>2142</v>
      </c>
      <c r="B86" s="8" t="s">
        <v>2143</v>
      </c>
    </row>
    <row r="87" spans="1:2" x14ac:dyDescent="0.25">
      <c r="A87" s="8" t="s">
        <v>2144</v>
      </c>
      <c r="B87" s="8" t="s">
        <v>2145</v>
      </c>
    </row>
    <row r="88" spans="1:2" x14ac:dyDescent="0.25">
      <c r="A88" s="8" t="s">
        <v>2146</v>
      </c>
      <c r="B88" s="8" t="s">
        <v>2147</v>
      </c>
    </row>
    <row r="89" spans="1:2" x14ac:dyDescent="0.25">
      <c r="A89" s="8" t="s">
        <v>2148</v>
      </c>
      <c r="B89" s="8" t="s">
        <v>156</v>
      </c>
    </row>
    <row r="90" spans="1:2" x14ac:dyDescent="0.25">
      <c r="A90" s="8" t="s">
        <v>2149</v>
      </c>
      <c r="B90" s="8" t="s">
        <v>2150</v>
      </c>
    </row>
    <row r="91" spans="1:2" x14ac:dyDescent="0.25">
      <c r="A91" s="8" t="s">
        <v>2151</v>
      </c>
      <c r="B91" s="8" t="s">
        <v>2152</v>
      </c>
    </row>
    <row r="92" spans="1:2" x14ac:dyDescent="0.25">
      <c r="A92" s="8" t="s">
        <v>2153</v>
      </c>
      <c r="B92" s="8" t="s">
        <v>2154</v>
      </c>
    </row>
    <row r="93" spans="1:2" x14ac:dyDescent="0.25">
      <c r="A93" s="8" t="s">
        <v>2155</v>
      </c>
      <c r="B93" s="8" t="s">
        <v>2156</v>
      </c>
    </row>
    <row r="94" spans="1:2" x14ac:dyDescent="0.25">
      <c r="A94" s="8" t="s">
        <v>2157</v>
      </c>
      <c r="B94" s="8" t="s">
        <v>2158</v>
      </c>
    </row>
    <row r="95" spans="1:2" x14ac:dyDescent="0.25">
      <c r="A95" s="8" t="s">
        <v>2159</v>
      </c>
      <c r="B95" s="8" t="s">
        <v>2160</v>
      </c>
    </row>
    <row r="96" spans="1:2" x14ac:dyDescent="0.25">
      <c r="A96" s="8" t="s">
        <v>2161</v>
      </c>
      <c r="B96" s="8" t="s">
        <v>2160</v>
      </c>
    </row>
    <row r="97" spans="1:2" x14ac:dyDescent="0.25">
      <c r="A97" s="8" t="s">
        <v>2162</v>
      </c>
      <c r="B97" s="8" t="s">
        <v>2163</v>
      </c>
    </row>
    <row r="98" spans="1:2" x14ac:dyDescent="0.25">
      <c r="A98" s="8" t="s">
        <v>2164</v>
      </c>
      <c r="B98" s="8" t="s">
        <v>2165</v>
      </c>
    </row>
    <row r="99" spans="1:2" x14ac:dyDescent="0.25">
      <c r="A99" s="8" t="s">
        <v>2166</v>
      </c>
      <c r="B99" s="8" t="s">
        <v>2167</v>
      </c>
    </row>
    <row r="100" spans="1:2" x14ac:dyDescent="0.25">
      <c r="A100" s="8" t="s">
        <v>2168</v>
      </c>
      <c r="B100" s="8" t="s">
        <v>2169</v>
      </c>
    </row>
    <row r="101" spans="1:2" x14ac:dyDescent="0.25">
      <c r="A101" s="8" t="s">
        <v>2170</v>
      </c>
      <c r="B101" s="8" t="s">
        <v>2171</v>
      </c>
    </row>
    <row r="102" spans="1:2" x14ac:dyDescent="0.25">
      <c r="A102" s="8" t="s">
        <v>2172</v>
      </c>
      <c r="B102" s="8" t="s">
        <v>2173</v>
      </c>
    </row>
    <row r="103" spans="1:2" x14ac:dyDescent="0.25">
      <c r="A103" s="8" t="s">
        <v>2174</v>
      </c>
      <c r="B103" s="8" t="s">
        <v>2175</v>
      </c>
    </row>
    <row r="104" spans="1:2" x14ac:dyDescent="0.25">
      <c r="A104" s="8" t="s">
        <v>2176</v>
      </c>
      <c r="B104" s="8" t="s">
        <v>2177</v>
      </c>
    </row>
    <row r="105" spans="1:2" x14ac:dyDescent="0.25">
      <c r="A105" s="8" t="s">
        <v>2178</v>
      </c>
      <c r="B105" s="8" t="s">
        <v>2179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F84"/>
  <sheetViews>
    <sheetView zoomScale="115" zoomScaleNormal="115" workbookViewId="0">
      <pane ySplit="1" topLeftCell="A2" activePane="bottomLeft" state="frozen"/>
      <selection activeCell="Q1" sqref="Q1"/>
      <selection pane="bottomLeft" activeCell="B12" sqref="B12"/>
    </sheetView>
  </sheetViews>
  <sheetFormatPr baseColWidth="10" defaultRowHeight="15" x14ac:dyDescent="0.25"/>
  <cols>
    <col min="1" max="1" width="18.140625" style="6" bestFit="1" customWidth="1"/>
    <col min="2" max="2" width="31" bestFit="1" customWidth="1"/>
    <col min="3" max="3" width="18.140625" bestFit="1" customWidth="1"/>
    <col min="4" max="4" width="13.42578125" bestFit="1" customWidth="1"/>
    <col min="7" max="7" width="12.85546875" style="1" bestFit="1" customWidth="1"/>
    <col min="8" max="8" width="13.85546875" bestFit="1" customWidth="1"/>
    <col min="9" max="9" width="34.28515625" bestFit="1" customWidth="1"/>
    <col min="11" max="11" width="130.7109375" bestFit="1" customWidth="1"/>
    <col min="12" max="13" width="27.5703125" customWidth="1"/>
    <col min="14" max="14" width="24.5703125" customWidth="1"/>
    <col min="15" max="15" width="84.42578125" bestFit="1" customWidth="1"/>
    <col min="16" max="16" width="115.7109375" bestFit="1" customWidth="1"/>
    <col min="17" max="17" width="15.28515625" bestFit="1" customWidth="1"/>
    <col min="19" max="19" width="30.5703125" bestFit="1" customWidth="1"/>
    <col min="20" max="20" width="20" bestFit="1" customWidth="1"/>
    <col min="21" max="21" width="31" bestFit="1" customWidth="1"/>
    <col min="22" max="22" width="18" bestFit="1" customWidth="1"/>
    <col min="23" max="23" width="11.140625" bestFit="1" customWidth="1"/>
    <col min="24" max="24" width="32.85546875" bestFit="1" customWidth="1"/>
    <col min="25" max="25" width="21.85546875" bestFit="1" customWidth="1"/>
    <col min="26" max="26" width="34.85546875" bestFit="1" customWidth="1"/>
    <col min="28" max="28" width="16.5703125" bestFit="1" customWidth="1"/>
    <col min="29" max="29" width="39.5703125" bestFit="1" customWidth="1"/>
    <col min="30" max="30" width="19.7109375" style="1" bestFit="1" customWidth="1"/>
    <col min="31" max="31" width="33" bestFit="1" customWidth="1"/>
    <col min="32" max="32" width="22.85546875" style="1" bestFit="1" customWidth="1"/>
    <col min="33" max="33" width="27.85546875" bestFit="1" customWidth="1"/>
    <col min="34" max="34" width="20.7109375" style="1" bestFit="1" customWidth="1"/>
    <col min="35" max="35" width="27" bestFit="1" customWidth="1"/>
    <col min="36" max="36" width="22.5703125" bestFit="1" customWidth="1"/>
    <col min="37" max="37" width="27" bestFit="1" customWidth="1"/>
    <col min="38" max="38" width="22.85546875" bestFit="1" customWidth="1"/>
    <col min="39" max="39" width="94" bestFit="1" customWidth="1"/>
    <col min="40" max="40" width="48.5703125" bestFit="1" customWidth="1"/>
    <col min="41" max="41" width="24.7109375" bestFit="1" customWidth="1"/>
    <col min="42" max="42" width="21" bestFit="1" customWidth="1"/>
    <col min="43" max="43" width="25.42578125" bestFit="1" customWidth="1"/>
    <col min="44" max="44" width="18.140625" bestFit="1" customWidth="1"/>
    <col min="45" max="45" width="47.85546875" bestFit="1" customWidth="1"/>
    <col min="46" max="46" width="43.140625" bestFit="1" customWidth="1"/>
    <col min="47" max="47" width="34.28515625" bestFit="1" customWidth="1"/>
    <col min="48" max="48" width="58.5703125" bestFit="1" customWidth="1"/>
    <col min="49" max="49" width="48.140625" bestFit="1" customWidth="1"/>
    <col min="50" max="50" width="40.28515625" bestFit="1" customWidth="1"/>
    <col min="51" max="51" width="20.28515625" bestFit="1" customWidth="1"/>
    <col min="52" max="52" width="152.7109375" bestFit="1" customWidth="1"/>
    <col min="53" max="53" width="15.42578125" bestFit="1" customWidth="1"/>
    <col min="54" max="54" width="27.28515625" bestFit="1" customWidth="1"/>
    <col min="55" max="55" width="25.7109375" bestFit="1" customWidth="1"/>
    <col min="56" max="57" width="25.7109375" customWidth="1"/>
    <col min="58" max="58" width="17.42578125" bestFit="1" customWidth="1"/>
    <col min="61" max="61" width="25.7109375" bestFit="1" customWidth="1"/>
    <col min="67" max="67" width="25.28515625" customWidth="1"/>
    <col min="68" max="68" width="19.5703125" customWidth="1"/>
    <col min="69" max="69" width="19" customWidth="1"/>
    <col min="70" max="70" width="23.140625" customWidth="1"/>
    <col min="71" max="71" width="22.85546875" customWidth="1"/>
    <col min="82" max="85" width="24.28515625" bestFit="1" customWidth="1"/>
    <col min="106" max="115" width="11.42578125" style="8"/>
    <col min="116" max="116" width="13.85546875" style="8" bestFit="1" customWidth="1"/>
    <col min="117" max="125" width="11.42578125" style="8"/>
    <col min="126" max="126" width="13.85546875" style="8" bestFit="1" customWidth="1"/>
    <col min="127" max="145" width="11.42578125" style="8"/>
    <col min="159" max="159" width="16.5703125" bestFit="1" customWidth="1"/>
    <col min="160" max="160" width="20.5703125" bestFit="1" customWidth="1"/>
    <col min="161" max="161" width="14.85546875" bestFit="1" customWidth="1"/>
  </cols>
  <sheetData>
    <row r="1" spans="1:162" s="2" customFormat="1" ht="15.75" x14ac:dyDescent="0.25">
      <c r="A1" s="5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" t="s">
        <v>1246</v>
      </c>
      <c r="H1" s="2" t="s">
        <v>6</v>
      </c>
      <c r="I1" s="2" t="s">
        <v>7</v>
      </c>
      <c r="J1" s="2" t="s">
        <v>8</v>
      </c>
      <c r="K1" s="2" t="s">
        <v>1247</v>
      </c>
      <c r="L1" s="3" t="s">
        <v>1248</v>
      </c>
      <c r="M1" s="3" t="s">
        <v>1249</v>
      </c>
      <c r="N1" s="3" t="s">
        <v>1250</v>
      </c>
      <c r="O1" s="2" t="s">
        <v>9</v>
      </c>
      <c r="P1" s="2" t="s">
        <v>10</v>
      </c>
      <c r="Q1" s="2" t="s">
        <v>11</v>
      </c>
      <c r="R1" s="2" t="s">
        <v>12</v>
      </c>
      <c r="S1" s="2" t="s">
        <v>13</v>
      </c>
      <c r="T1" s="2" t="s">
        <v>14</v>
      </c>
      <c r="U1" s="2" t="s">
        <v>15</v>
      </c>
      <c r="V1" s="2" t="s">
        <v>16</v>
      </c>
      <c r="W1" s="2" t="s">
        <v>17</v>
      </c>
      <c r="X1" s="2" t="s">
        <v>18</v>
      </c>
      <c r="Y1" s="2" t="s">
        <v>19</v>
      </c>
      <c r="Z1" s="2" t="s">
        <v>20</v>
      </c>
      <c r="AA1" s="2" t="s">
        <v>21</v>
      </c>
      <c r="AB1" s="2" t="s">
        <v>22</v>
      </c>
      <c r="AC1" s="2" t="s">
        <v>23</v>
      </c>
      <c r="AD1" s="4" t="s">
        <v>24</v>
      </c>
      <c r="AE1" s="2" t="s">
        <v>25</v>
      </c>
      <c r="AF1" s="4" t="s">
        <v>26</v>
      </c>
      <c r="AG1" s="2" t="s">
        <v>27</v>
      </c>
      <c r="AH1" s="4" t="s">
        <v>28</v>
      </c>
      <c r="AI1" s="2" t="s">
        <v>29</v>
      </c>
      <c r="AJ1" s="2" t="s">
        <v>30</v>
      </c>
      <c r="AK1" s="2" t="s">
        <v>31</v>
      </c>
      <c r="AL1" s="2" t="s">
        <v>32</v>
      </c>
      <c r="AM1" s="2" t="s">
        <v>33</v>
      </c>
      <c r="AN1" s="2" t="s">
        <v>34</v>
      </c>
      <c r="AO1" s="2" t="s">
        <v>35</v>
      </c>
      <c r="AP1" s="2" t="s">
        <v>36</v>
      </c>
      <c r="AQ1" s="2" t="s">
        <v>37</v>
      </c>
      <c r="AR1" s="2" t="s">
        <v>38</v>
      </c>
      <c r="AS1" s="2" t="s">
        <v>39</v>
      </c>
      <c r="AT1" s="2" t="s">
        <v>40</v>
      </c>
      <c r="AU1" s="2" t="s">
        <v>41</v>
      </c>
      <c r="AV1" s="2" t="s">
        <v>42</v>
      </c>
      <c r="AW1" s="2" t="s">
        <v>43</v>
      </c>
      <c r="AX1" s="2" t="s">
        <v>44</v>
      </c>
      <c r="AY1" s="2" t="s">
        <v>45</v>
      </c>
      <c r="AZ1" s="2" t="s">
        <v>46</v>
      </c>
      <c r="BA1" s="2" t="s">
        <v>47</v>
      </c>
      <c r="BB1" s="2" t="s">
        <v>48</v>
      </c>
      <c r="BC1" s="2" t="s">
        <v>1275</v>
      </c>
      <c r="BD1" s="2" t="s">
        <v>1276</v>
      </c>
      <c r="BE1" s="2" t="s">
        <v>1287</v>
      </c>
      <c r="BF1" s="2" t="s">
        <v>49</v>
      </c>
      <c r="BG1" s="2" t="s">
        <v>1288</v>
      </c>
      <c r="BH1" s="2" t="s">
        <v>1289</v>
      </c>
      <c r="BI1" s="2" t="s">
        <v>1293</v>
      </c>
      <c r="BJ1" s="2" t="s">
        <v>1294</v>
      </c>
      <c r="BK1" s="2" t="s">
        <v>1295</v>
      </c>
      <c r="BL1" s="2" t="s">
        <v>1296</v>
      </c>
      <c r="BM1" s="2" t="s">
        <v>1297</v>
      </c>
      <c r="BN1" s="2" t="s">
        <v>1298</v>
      </c>
      <c r="BO1" s="2" t="s">
        <v>1299</v>
      </c>
      <c r="BP1" s="2" t="s">
        <v>1300</v>
      </c>
      <c r="BQ1" s="2" t="s">
        <v>1301</v>
      </c>
      <c r="BR1" s="2" t="s">
        <v>1302</v>
      </c>
      <c r="BS1" s="2" t="s">
        <v>1303</v>
      </c>
      <c r="BT1" s="2" t="s">
        <v>1304</v>
      </c>
      <c r="BU1" s="2" t="s">
        <v>1305</v>
      </c>
      <c r="BV1" s="2" t="s">
        <v>1306</v>
      </c>
      <c r="BW1" s="2" t="s">
        <v>1307</v>
      </c>
      <c r="BX1" s="2" t="s">
        <v>1308</v>
      </c>
      <c r="BY1" s="2" t="s">
        <v>1309</v>
      </c>
      <c r="BZ1" s="2" t="s">
        <v>1310</v>
      </c>
      <c r="CA1" s="2" t="s">
        <v>1311</v>
      </c>
      <c r="CB1" s="2" t="s">
        <v>1312</v>
      </c>
      <c r="CC1" s="2" t="s">
        <v>1313</v>
      </c>
      <c r="CD1" s="2" t="s">
        <v>1314</v>
      </c>
      <c r="CE1" s="2" t="s">
        <v>1315</v>
      </c>
      <c r="CF1" s="2" t="s">
        <v>1316</v>
      </c>
      <c r="CG1" s="2" t="s">
        <v>1317</v>
      </c>
      <c r="CH1" s="2" t="s">
        <v>1318</v>
      </c>
      <c r="CI1" s="2" t="s">
        <v>1340</v>
      </c>
      <c r="CJ1" s="2" t="s">
        <v>1341</v>
      </c>
      <c r="CK1" s="2" t="s">
        <v>1342</v>
      </c>
      <c r="CL1" s="2" t="s">
        <v>1343</v>
      </c>
      <c r="CM1" s="2" t="s">
        <v>1344</v>
      </c>
      <c r="CN1" s="2" t="s">
        <v>1345</v>
      </c>
      <c r="CO1" s="2" t="s">
        <v>1346</v>
      </c>
      <c r="CP1" s="2" t="s">
        <v>1347</v>
      </c>
      <c r="CQ1" s="2" t="s">
        <v>1348</v>
      </c>
      <c r="CR1" s="2" t="s">
        <v>1349</v>
      </c>
      <c r="CS1" s="2" t="s">
        <v>1350</v>
      </c>
      <c r="CT1" s="2" t="s">
        <v>1351</v>
      </c>
      <c r="CU1" s="2" t="s">
        <v>1352</v>
      </c>
      <c r="CV1" s="2" t="s">
        <v>1353</v>
      </c>
      <c r="CW1" s="2" t="s">
        <v>1354</v>
      </c>
      <c r="CX1" s="2" t="s">
        <v>1355</v>
      </c>
      <c r="CY1" s="2" t="s">
        <v>1356</v>
      </c>
      <c r="CZ1" s="2" t="s">
        <v>1357</v>
      </c>
      <c r="DA1" s="2" t="s">
        <v>1359</v>
      </c>
      <c r="DB1" s="11" t="s">
        <v>1364</v>
      </c>
      <c r="DC1" s="11" t="s">
        <v>1365</v>
      </c>
      <c r="DD1" s="11" t="s">
        <v>1366</v>
      </c>
      <c r="DE1" s="11" t="s">
        <v>1367</v>
      </c>
      <c r="DF1" s="11" t="s">
        <v>1368</v>
      </c>
      <c r="DG1" s="11" t="s">
        <v>1369</v>
      </c>
      <c r="DH1" s="11" t="s">
        <v>1370</v>
      </c>
      <c r="DI1" s="11" t="s">
        <v>1371</v>
      </c>
      <c r="DJ1" s="11" t="s">
        <v>1372</v>
      </c>
      <c r="DK1" s="11" t="s">
        <v>1373</v>
      </c>
      <c r="DL1" s="11" t="s">
        <v>1374</v>
      </c>
      <c r="DM1" s="11" t="s">
        <v>1375</v>
      </c>
      <c r="DN1" s="11" t="s">
        <v>1376</v>
      </c>
      <c r="DO1" s="11" t="s">
        <v>1377</v>
      </c>
      <c r="DP1" s="11" t="s">
        <v>1378</v>
      </c>
      <c r="DQ1" s="11" t="s">
        <v>1379</v>
      </c>
      <c r="DR1" s="11" t="s">
        <v>1380</v>
      </c>
      <c r="DS1" s="11" t="s">
        <v>1381</v>
      </c>
      <c r="DT1" s="11" t="s">
        <v>1382</v>
      </c>
      <c r="DU1" s="11" t="s">
        <v>1383</v>
      </c>
      <c r="DV1" s="11" t="s">
        <v>1384</v>
      </c>
      <c r="DW1" s="11" t="s">
        <v>1385</v>
      </c>
      <c r="DX1" s="11" t="s">
        <v>1386</v>
      </c>
      <c r="DY1" s="11" t="s">
        <v>1387</v>
      </c>
      <c r="DZ1" s="11" t="s">
        <v>1388</v>
      </c>
      <c r="EA1" s="11" t="s">
        <v>1389</v>
      </c>
      <c r="EB1" s="11" t="s">
        <v>1390</v>
      </c>
      <c r="EC1" s="11" t="s">
        <v>1391</v>
      </c>
      <c r="ED1" s="11" t="s">
        <v>1392</v>
      </c>
      <c r="EE1" s="11" t="s">
        <v>1393</v>
      </c>
      <c r="EF1" s="11" t="s">
        <v>1394</v>
      </c>
      <c r="EG1" s="11" t="s">
        <v>1395</v>
      </c>
      <c r="EH1" s="11" t="s">
        <v>1396</v>
      </c>
      <c r="EI1" s="11" t="s">
        <v>1397</v>
      </c>
      <c r="EJ1" s="11" t="s">
        <v>1398</v>
      </c>
      <c r="EK1" s="11" t="s">
        <v>1399</v>
      </c>
      <c r="EL1" s="11" t="s">
        <v>1400</v>
      </c>
      <c r="EM1" s="11" t="s">
        <v>1401</v>
      </c>
      <c r="EN1" s="11" t="s">
        <v>1402</v>
      </c>
      <c r="EO1" s="11" t="s">
        <v>1403</v>
      </c>
      <c r="EP1" s="2" t="s">
        <v>1404</v>
      </c>
      <c r="EQ1" s="2" t="s">
        <v>1405</v>
      </c>
      <c r="ER1" s="2" t="s">
        <v>1406</v>
      </c>
      <c r="ES1" s="2" t="s">
        <v>1407</v>
      </c>
      <c r="ET1" s="2" t="s">
        <v>1408</v>
      </c>
      <c r="EU1" s="2" t="s">
        <v>1409</v>
      </c>
      <c r="EV1" s="2" t="s">
        <v>1410</v>
      </c>
      <c r="EW1" s="2" t="s">
        <v>1411</v>
      </c>
      <c r="EX1" s="2" t="s">
        <v>1412</v>
      </c>
      <c r="EY1" s="2" t="s">
        <v>1413</v>
      </c>
      <c r="EZ1" s="2" t="s">
        <v>1414</v>
      </c>
      <c r="FA1" s="2" t="s">
        <v>1415</v>
      </c>
      <c r="FB1" s="2" t="s">
        <v>1416</v>
      </c>
      <c r="FC1" s="2" t="s">
        <v>1417</v>
      </c>
      <c r="FD1" s="2" t="s">
        <v>2223</v>
      </c>
      <c r="FE1" s="2" t="s">
        <v>2224</v>
      </c>
      <c r="FF1" s="2" t="s">
        <v>2225</v>
      </c>
    </row>
    <row r="2" spans="1:162" x14ac:dyDescent="0.25">
      <c r="A2" s="6">
        <v>99021645</v>
      </c>
      <c r="B2" t="s">
        <v>50</v>
      </c>
      <c r="C2" t="s">
        <v>51</v>
      </c>
      <c r="D2">
        <v>701600941</v>
      </c>
      <c r="E2" t="s">
        <v>52</v>
      </c>
      <c r="F2">
        <v>35</v>
      </c>
      <c r="H2" t="s">
        <v>53</v>
      </c>
      <c r="I2" t="s">
        <v>54</v>
      </c>
      <c r="J2">
        <v>86349839</v>
      </c>
      <c r="K2" t="s">
        <v>55</v>
      </c>
      <c r="O2" t="s">
        <v>56</v>
      </c>
      <c r="P2" t="s">
        <v>57</v>
      </c>
      <c r="S2" t="s">
        <v>58</v>
      </c>
      <c r="U2" t="s">
        <v>59</v>
      </c>
      <c r="W2" t="s">
        <v>60</v>
      </c>
      <c r="Z2" t="s">
        <v>61</v>
      </c>
      <c r="AA2">
        <v>27638246</v>
      </c>
      <c r="AB2">
        <v>2</v>
      </c>
      <c r="AC2" t="s">
        <v>63</v>
      </c>
      <c r="AD2" s="1">
        <v>44183</v>
      </c>
      <c r="AE2" t="s">
        <v>64</v>
      </c>
      <c r="AF2" s="1">
        <v>43956</v>
      </c>
      <c r="AM2" t="s">
        <v>65</v>
      </c>
      <c r="AN2" t="s">
        <v>66</v>
      </c>
      <c r="AO2" t="s">
        <v>67</v>
      </c>
      <c r="AP2" t="s">
        <v>67</v>
      </c>
      <c r="AQ2" t="s">
        <v>68</v>
      </c>
      <c r="AR2" t="s">
        <v>69</v>
      </c>
      <c r="AS2" t="s">
        <v>70</v>
      </c>
      <c r="AT2" t="s">
        <v>71</v>
      </c>
      <c r="AU2" t="s">
        <v>72</v>
      </c>
      <c r="AV2" t="s">
        <v>73</v>
      </c>
      <c r="AW2" t="s">
        <v>74</v>
      </c>
      <c r="AX2" t="s">
        <v>75</v>
      </c>
      <c r="AY2" t="s">
        <v>74</v>
      </c>
      <c r="AZ2" t="s">
        <v>76</v>
      </c>
      <c r="BA2" t="s">
        <v>77</v>
      </c>
      <c r="BD2" t="s">
        <v>78</v>
      </c>
      <c r="BF2" t="s">
        <v>79</v>
      </c>
    </row>
    <row r="3" spans="1:162" x14ac:dyDescent="0.25">
      <c r="A3" s="6">
        <v>99022406</v>
      </c>
      <c r="B3" t="s">
        <v>80</v>
      </c>
      <c r="C3" t="s">
        <v>81</v>
      </c>
      <c r="D3">
        <v>304940374</v>
      </c>
      <c r="E3" t="s">
        <v>52</v>
      </c>
      <c r="F3">
        <v>24</v>
      </c>
      <c r="H3" t="s">
        <v>53</v>
      </c>
      <c r="I3" t="s">
        <v>82</v>
      </c>
      <c r="J3">
        <v>72018240</v>
      </c>
      <c r="K3" t="s">
        <v>83</v>
      </c>
      <c r="O3" t="s">
        <v>84</v>
      </c>
      <c r="P3" t="s">
        <v>85</v>
      </c>
      <c r="S3" t="s">
        <v>86</v>
      </c>
      <c r="T3">
        <v>62599995</v>
      </c>
      <c r="U3" t="s">
        <v>87</v>
      </c>
      <c r="W3" t="s">
        <v>88</v>
      </c>
      <c r="Z3" t="s">
        <v>89</v>
      </c>
      <c r="AA3">
        <v>62342404</v>
      </c>
      <c r="AM3" t="s">
        <v>90</v>
      </c>
      <c r="AN3" t="s">
        <v>91</v>
      </c>
      <c r="AO3" t="s">
        <v>67</v>
      </c>
      <c r="AP3" t="s">
        <v>67</v>
      </c>
      <c r="AQ3" t="s">
        <v>68</v>
      </c>
      <c r="AR3" t="s">
        <v>69</v>
      </c>
      <c r="AS3" t="s">
        <v>92</v>
      </c>
      <c r="AT3" t="s">
        <v>93</v>
      </c>
      <c r="AU3" t="s">
        <v>72</v>
      </c>
      <c r="AV3" t="s">
        <v>94</v>
      </c>
      <c r="AW3" t="s">
        <v>95</v>
      </c>
      <c r="AX3" t="s">
        <v>96</v>
      </c>
      <c r="AY3" t="s">
        <v>72</v>
      </c>
      <c r="AZ3" t="s">
        <v>97</v>
      </c>
      <c r="BA3" t="s">
        <v>98</v>
      </c>
      <c r="BF3" t="s">
        <v>79</v>
      </c>
    </row>
    <row r="4" spans="1:162" x14ac:dyDescent="0.25">
      <c r="A4" s="6">
        <v>99022407</v>
      </c>
      <c r="B4" t="s">
        <v>99</v>
      </c>
      <c r="C4" t="s">
        <v>100</v>
      </c>
      <c r="D4">
        <v>401720846</v>
      </c>
      <c r="E4" t="s">
        <v>52</v>
      </c>
      <c r="F4">
        <v>40</v>
      </c>
      <c r="H4" t="s">
        <v>53</v>
      </c>
      <c r="I4" t="s">
        <v>101</v>
      </c>
      <c r="J4">
        <v>85089131</v>
      </c>
      <c r="K4" t="s">
        <v>102</v>
      </c>
      <c r="O4" t="s">
        <v>103</v>
      </c>
      <c r="P4" t="s">
        <v>104</v>
      </c>
      <c r="S4" t="s">
        <v>105</v>
      </c>
      <c r="T4">
        <v>27643370</v>
      </c>
      <c r="U4" t="s">
        <v>106</v>
      </c>
      <c r="W4" t="s">
        <v>88</v>
      </c>
      <c r="Z4" t="s">
        <v>107</v>
      </c>
      <c r="AB4">
        <v>2</v>
      </c>
      <c r="AC4" t="s">
        <v>108</v>
      </c>
      <c r="AD4" s="1">
        <v>43861</v>
      </c>
      <c r="AE4" t="s">
        <v>109</v>
      </c>
      <c r="AF4" s="1">
        <v>38050</v>
      </c>
      <c r="AM4" t="s">
        <v>110</v>
      </c>
      <c r="AN4" t="s">
        <v>111</v>
      </c>
      <c r="AO4" t="s">
        <v>67</v>
      </c>
      <c r="AP4" t="s">
        <v>67</v>
      </c>
      <c r="AQ4" t="s">
        <v>68</v>
      </c>
      <c r="AR4" t="s">
        <v>69</v>
      </c>
      <c r="AS4" t="s">
        <v>112</v>
      </c>
      <c r="AT4" t="s">
        <v>113</v>
      </c>
      <c r="AU4" t="s">
        <v>114</v>
      </c>
      <c r="AZ4" t="s">
        <v>76</v>
      </c>
      <c r="BA4" t="s">
        <v>98</v>
      </c>
      <c r="BC4" t="s">
        <v>115</v>
      </c>
      <c r="BF4" t="s">
        <v>79</v>
      </c>
    </row>
    <row r="5" spans="1:162" x14ac:dyDescent="0.25">
      <c r="A5" s="6">
        <v>99021480</v>
      </c>
      <c r="B5" t="s">
        <v>1253</v>
      </c>
      <c r="C5" t="s">
        <v>1245</v>
      </c>
      <c r="D5">
        <v>701530894</v>
      </c>
      <c r="E5" t="s">
        <v>52</v>
      </c>
      <c r="F5">
        <v>36</v>
      </c>
      <c r="H5" t="s">
        <v>53</v>
      </c>
      <c r="I5" t="s">
        <v>116</v>
      </c>
      <c r="J5">
        <v>84868104</v>
      </c>
      <c r="K5" t="s">
        <v>117</v>
      </c>
      <c r="O5" t="s">
        <v>84</v>
      </c>
      <c r="P5" t="s">
        <v>118</v>
      </c>
      <c r="S5" t="s">
        <v>119</v>
      </c>
      <c r="U5" t="s">
        <v>120</v>
      </c>
      <c r="W5" t="s">
        <v>121</v>
      </c>
      <c r="X5" t="s">
        <v>1278</v>
      </c>
      <c r="Y5">
        <v>84333089</v>
      </c>
      <c r="Z5" t="s">
        <v>122</v>
      </c>
      <c r="AA5">
        <v>27633592</v>
      </c>
      <c r="AB5">
        <v>2</v>
      </c>
      <c r="AC5" t="s">
        <v>123</v>
      </c>
      <c r="AD5" s="1">
        <v>39147</v>
      </c>
      <c r="AE5" t="s">
        <v>124</v>
      </c>
      <c r="AF5" s="1">
        <v>43765</v>
      </c>
      <c r="AM5" t="s">
        <v>125</v>
      </c>
      <c r="AN5" t="s">
        <v>126</v>
      </c>
      <c r="AO5" t="s">
        <v>67</v>
      </c>
      <c r="AP5" t="s">
        <v>67</v>
      </c>
      <c r="AQ5" t="s">
        <v>68</v>
      </c>
      <c r="AR5" t="s">
        <v>69</v>
      </c>
      <c r="AS5" t="s">
        <v>127</v>
      </c>
      <c r="AT5" t="s">
        <v>128</v>
      </c>
      <c r="AU5" t="s">
        <v>129</v>
      </c>
      <c r="AV5" t="s">
        <v>125</v>
      </c>
      <c r="AW5" t="s">
        <v>130</v>
      </c>
      <c r="AZ5" t="s">
        <v>131</v>
      </c>
      <c r="BA5" t="s">
        <v>98</v>
      </c>
      <c r="BD5" t="s">
        <v>78</v>
      </c>
      <c r="BF5" t="s">
        <v>79</v>
      </c>
    </row>
    <row r="6" spans="1:162" x14ac:dyDescent="0.25">
      <c r="A6" s="6">
        <v>99021416</v>
      </c>
      <c r="B6" t="s">
        <v>132</v>
      </c>
      <c r="C6" t="s">
        <v>133</v>
      </c>
      <c r="D6">
        <v>701220692</v>
      </c>
      <c r="E6" t="s">
        <v>52</v>
      </c>
      <c r="F6">
        <v>43</v>
      </c>
      <c r="H6" t="s">
        <v>53</v>
      </c>
      <c r="I6" t="s">
        <v>134</v>
      </c>
      <c r="J6">
        <v>87229289</v>
      </c>
      <c r="K6" t="s">
        <v>135</v>
      </c>
      <c r="O6" t="s">
        <v>103</v>
      </c>
      <c r="P6" t="s">
        <v>57</v>
      </c>
      <c r="S6" t="s">
        <v>1252</v>
      </c>
      <c r="T6">
        <v>27637114</v>
      </c>
      <c r="U6" t="s">
        <v>136</v>
      </c>
      <c r="W6" t="s">
        <v>121</v>
      </c>
      <c r="X6" t="s">
        <v>137</v>
      </c>
      <c r="Y6">
        <v>87229289</v>
      </c>
      <c r="Z6" t="s">
        <v>138</v>
      </c>
      <c r="AA6">
        <v>27638431</v>
      </c>
      <c r="AB6">
        <v>2</v>
      </c>
      <c r="AC6" t="s">
        <v>139</v>
      </c>
      <c r="AD6" s="1">
        <v>40168</v>
      </c>
      <c r="AE6" t="s">
        <v>140</v>
      </c>
      <c r="AF6" s="1">
        <v>38828</v>
      </c>
      <c r="AM6" t="s">
        <v>141</v>
      </c>
      <c r="AN6" t="s">
        <v>142</v>
      </c>
      <c r="AO6" t="s">
        <v>67</v>
      </c>
      <c r="AP6" t="s">
        <v>67</v>
      </c>
      <c r="AQ6" t="s">
        <v>68</v>
      </c>
      <c r="AR6" t="s">
        <v>69</v>
      </c>
      <c r="AS6" t="s">
        <v>143</v>
      </c>
      <c r="AT6" t="s">
        <v>113</v>
      </c>
      <c r="AU6" t="s">
        <v>144</v>
      </c>
      <c r="AV6" t="s">
        <v>73</v>
      </c>
      <c r="AW6" t="s">
        <v>144</v>
      </c>
      <c r="AX6" t="s">
        <v>145</v>
      </c>
      <c r="AY6" t="s">
        <v>146</v>
      </c>
      <c r="AZ6" t="s">
        <v>76</v>
      </c>
      <c r="BA6" t="s">
        <v>98</v>
      </c>
      <c r="BC6" t="s">
        <v>115</v>
      </c>
      <c r="BD6" t="s">
        <v>78</v>
      </c>
      <c r="BF6" t="s">
        <v>79</v>
      </c>
    </row>
    <row r="7" spans="1:162" x14ac:dyDescent="0.25">
      <c r="A7" s="6">
        <v>99022353</v>
      </c>
      <c r="B7" t="s">
        <v>1255</v>
      </c>
      <c r="C7" t="s">
        <v>1254</v>
      </c>
      <c r="D7">
        <v>702380954</v>
      </c>
      <c r="E7" t="s">
        <v>52</v>
      </c>
      <c r="F7">
        <v>26</v>
      </c>
      <c r="H7" t="s">
        <v>53</v>
      </c>
      <c r="I7" t="s">
        <v>147</v>
      </c>
      <c r="J7">
        <v>84265848</v>
      </c>
      <c r="K7" t="s">
        <v>148</v>
      </c>
      <c r="O7" t="s">
        <v>56</v>
      </c>
      <c r="P7" t="s">
        <v>149</v>
      </c>
      <c r="S7" t="s">
        <v>150</v>
      </c>
      <c r="T7">
        <v>84161043</v>
      </c>
      <c r="W7" t="s">
        <v>121</v>
      </c>
      <c r="X7" t="s">
        <v>151</v>
      </c>
      <c r="Y7">
        <v>85421880</v>
      </c>
      <c r="AB7">
        <v>1</v>
      </c>
      <c r="AC7" t="s">
        <v>152</v>
      </c>
      <c r="AD7" s="1">
        <v>42340</v>
      </c>
      <c r="AM7" t="s">
        <v>153</v>
      </c>
      <c r="AN7" t="s">
        <v>154</v>
      </c>
      <c r="AO7" t="s">
        <v>67</v>
      </c>
      <c r="AP7" t="s">
        <v>67</v>
      </c>
      <c r="AQ7" t="s">
        <v>68</v>
      </c>
      <c r="AR7" t="s">
        <v>69</v>
      </c>
      <c r="AS7" t="s">
        <v>155</v>
      </c>
      <c r="AT7" t="s">
        <v>156</v>
      </c>
      <c r="AU7" t="s">
        <v>157</v>
      </c>
      <c r="AV7" t="s">
        <v>158</v>
      </c>
      <c r="AW7" t="s">
        <v>62</v>
      </c>
      <c r="AX7" t="s">
        <v>159</v>
      </c>
      <c r="AY7" t="s">
        <v>62</v>
      </c>
      <c r="AZ7" t="s">
        <v>76</v>
      </c>
      <c r="BA7" t="s">
        <v>98</v>
      </c>
      <c r="BC7" t="s">
        <v>115</v>
      </c>
      <c r="BF7" t="s">
        <v>79</v>
      </c>
    </row>
    <row r="8" spans="1:162" x14ac:dyDescent="0.25">
      <c r="A8" s="6">
        <v>99022438</v>
      </c>
      <c r="B8" t="s">
        <v>1256</v>
      </c>
      <c r="C8" t="s">
        <v>1257</v>
      </c>
      <c r="D8">
        <v>702690860</v>
      </c>
      <c r="E8" t="s">
        <v>52</v>
      </c>
      <c r="F8">
        <v>21</v>
      </c>
      <c r="H8" t="s">
        <v>53</v>
      </c>
      <c r="I8" t="s">
        <v>160</v>
      </c>
      <c r="J8">
        <v>62968010</v>
      </c>
      <c r="K8" t="s">
        <v>161</v>
      </c>
      <c r="O8" t="s">
        <v>162</v>
      </c>
      <c r="P8" t="s">
        <v>104</v>
      </c>
      <c r="Q8" t="s">
        <v>333</v>
      </c>
      <c r="R8" t="s">
        <v>164</v>
      </c>
      <c r="S8" t="s">
        <v>165</v>
      </c>
      <c r="T8">
        <v>87327402</v>
      </c>
      <c r="W8" t="s">
        <v>88</v>
      </c>
      <c r="AM8" t="s">
        <v>166</v>
      </c>
      <c r="AN8" t="s">
        <v>167</v>
      </c>
      <c r="AO8" t="s">
        <v>67</v>
      </c>
      <c r="AP8" t="s">
        <v>67</v>
      </c>
      <c r="AQ8" t="s">
        <v>68</v>
      </c>
      <c r="AR8" t="s">
        <v>69</v>
      </c>
      <c r="AS8" t="s">
        <v>168</v>
      </c>
      <c r="AT8" t="s">
        <v>169</v>
      </c>
      <c r="AU8" t="s">
        <v>170</v>
      </c>
      <c r="AZ8" t="s">
        <v>97</v>
      </c>
      <c r="BA8" t="s">
        <v>98</v>
      </c>
      <c r="BB8" t="s">
        <v>171</v>
      </c>
      <c r="BD8" t="s">
        <v>78</v>
      </c>
      <c r="BF8" t="s">
        <v>79</v>
      </c>
    </row>
    <row r="9" spans="1:162" x14ac:dyDescent="0.25">
      <c r="A9" s="6">
        <v>99022351</v>
      </c>
      <c r="B9" t="s">
        <v>172</v>
      </c>
      <c r="C9" t="s">
        <v>173</v>
      </c>
      <c r="D9">
        <v>109700963</v>
      </c>
      <c r="E9" t="s">
        <v>52</v>
      </c>
      <c r="F9">
        <v>43</v>
      </c>
      <c r="H9" t="s">
        <v>53</v>
      </c>
      <c r="I9" t="s">
        <v>174</v>
      </c>
      <c r="J9">
        <v>84558219</v>
      </c>
      <c r="K9" t="s">
        <v>175</v>
      </c>
      <c r="O9" t="s">
        <v>103</v>
      </c>
      <c r="P9" t="s">
        <v>118</v>
      </c>
      <c r="R9" t="s">
        <v>164</v>
      </c>
      <c r="S9" t="s">
        <v>176</v>
      </c>
      <c r="T9" t="s">
        <v>177</v>
      </c>
      <c r="U9" t="s">
        <v>178</v>
      </c>
      <c r="V9">
        <v>27637114</v>
      </c>
      <c r="W9" t="s">
        <v>60</v>
      </c>
      <c r="AB9">
        <v>2</v>
      </c>
      <c r="AC9" t="s">
        <v>179</v>
      </c>
      <c r="AD9" s="1">
        <v>36743</v>
      </c>
      <c r="AE9" t="s">
        <v>180</v>
      </c>
      <c r="AF9" s="1">
        <v>43626</v>
      </c>
      <c r="AM9" t="s">
        <v>181</v>
      </c>
      <c r="AN9" t="s">
        <v>182</v>
      </c>
      <c r="AO9" t="s">
        <v>67</v>
      </c>
      <c r="AP9" t="s">
        <v>67</v>
      </c>
      <c r="AQ9" t="s">
        <v>183</v>
      </c>
      <c r="AR9" t="s">
        <v>69</v>
      </c>
      <c r="AS9" t="s">
        <v>184</v>
      </c>
      <c r="AT9" t="s">
        <v>185</v>
      </c>
      <c r="AU9" t="s">
        <v>186</v>
      </c>
      <c r="AZ9" t="s">
        <v>76</v>
      </c>
      <c r="BA9" t="s">
        <v>98</v>
      </c>
      <c r="BB9" t="s">
        <v>187</v>
      </c>
      <c r="BC9" t="s">
        <v>115</v>
      </c>
      <c r="BF9" t="s">
        <v>79</v>
      </c>
    </row>
    <row r="10" spans="1:162" x14ac:dyDescent="0.25">
      <c r="A10" s="6">
        <v>99022440</v>
      </c>
      <c r="B10" t="s">
        <v>188</v>
      </c>
      <c r="C10" t="s">
        <v>189</v>
      </c>
      <c r="D10">
        <v>702490966</v>
      </c>
      <c r="E10" t="s">
        <v>52</v>
      </c>
      <c r="F10">
        <v>23</v>
      </c>
      <c r="H10" t="s">
        <v>53</v>
      </c>
      <c r="I10" t="s">
        <v>190</v>
      </c>
      <c r="J10">
        <v>85819460</v>
      </c>
      <c r="K10" t="s">
        <v>191</v>
      </c>
      <c r="O10" t="s">
        <v>162</v>
      </c>
      <c r="P10" t="s">
        <v>192</v>
      </c>
      <c r="R10" t="s">
        <v>164</v>
      </c>
      <c r="S10" t="s">
        <v>193</v>
      </c>
      <c r="T10">
        <v>88804085</v>
      </c>
      <c r="W10" t="s">
        <v>88</v>
      </c>
      <c r="AO10" t="s">
        <v>67</v>
      </c>
      <c r="AP10" t="s">
        <v>67</v>
      </c>
      <c r="AQ10" t="s">
        <v>68</v>
      </c>
      <c r="AR10" t="s">
        <v>69</v>
      </c>
      <c r="AS10" t="s">
        <v>92</v>
      </c>
      <c r="AT10" t="s">
        <v>194</v>
      </c>
      <c r="AU10" t="s">
        <v>195</v>
      </c>
      <c r="AZ10" t="s">
        <v>196</v>
      </c>
      <c r="BA10" t="s">
        <v>98</v>
      </c>
      <c r="BB10" t="s">
        <v>197</v>
      </c>
      <c r="BD10" t="s">
        <v>78</v>
      </c>
      <c r="BF10" t="s">
        <v>79</v>
      </c>
    </row>
    <row r="11" spans="1:162" x14ac:dyDescent="0.25">
      <c r="A11" s="6">
        <v>99022404</v>
      </c>
      <c r="B11" t="s">
        <v>198</v>
      </c>
      <c r="C11" t="s">
        <v>199</v>
      </c>
      <c r="D11">
        <v>702580334</v>
      </c>
      <c r="E11" t="s">
        <v>52</v>
      </c>
      <c r="F11">
        <v>22</v>
      </c>
      <c r="H11" t="s">
        <v>53</v>
      </c>
      <c r="I11" t="s">
        <v>200</v>
      </c>
      <c r="J11">
        <v>63394649</v>
      </c>
      <c r="K11" t="s">
        <v>201</v>
      </c>
      <c r="O11" t="s">
        <v>56</v>
      </c>
      <c r="P11" t="s">
        <v>104</v>
      </c>
      <c r="S11" t="s">
        <v>202</v>
      </c>
      <c r="T11">
        <v>62182691</v>
      </c>
      <c r="W11" t="s">
        <v>203</v>
      </c>
      <c r="X11" t="s">
        <v>204</v>
      </c>
      <c r="AB11">
        <v>1</v>
      </c>
      <c r="AC11" t="s">
        <v>205</v>
      </c>
      <c r="AD11" s="1">
        <v>43190</v>
      </c>
      <c r="AM11" t="s">
        <v>206</v>
      </c>
      <c r="AN11" t="s">
        <v>207</v>
      </c>
      <c r="AO11" t="s">
        <v>67</v>
      </c>
      <c r="AP11" t="s">
        <v>67</v>
      </c>
      <c r="AQ11" t="s">
        <v>68</v>
      </c>
      <c r="AR11" t="s">
        <v>69</v>
      </c>
      <c r="AS11" t="s">
        <v>208</v>
      </c>
      <c r="AT11" t="s">
        <v>209</v>
      </c>
      <c r="AV11" t="s">
        <v>210</v>
      </c>
      <c r="AX11" t="s">
        <v>211</v>
      </c>
      <c r="AZ11" t="s">
        <v>212</v>
      </c>
      <c r="BA11" t="s">
        <v>98</v>
      </c>
      <c r="BB11" t="s">
        <v>213</v>
      </c>
      <c r="BD11" t="s">
        <v>78</v>
      </c>
      <c r="BF11" t="s">
        <v>79</v>
      </c>
    </row>
    <row r="12" spans="1:162" x14ac:dyDescent="0.25">
      <c r="A12" s="6">
        <v>99022152</v>
      </c>
      <c r="B12" t="s">
        <v>214</v>
      </c>
      <c r="C12" t="s">
        <v>215</v>
      </c>
      <c r="D12">
        <v>701160375</v>
      </c>
      <c r="E12" t="s">
        <v>52</v>
      </c>
      <c r="F12">
        <v>45</v>
      </c>
      <c r="H12" t="s">
        <v>53</v>
      </c>
      <c r="I12" t="s">
        <v>216</v>
      </c>
      <c r="J12">
        <v>64203440</v>
      </c>
      <c r="K12" t="s">
        <v>217</v>
      </c>
      <c r="O12" t="s">
        <v>84</v>
      </c>
      <c r="P12" t="s">
        <v>218</v>
      </c>
      <c r="S12" t="s">
        <v>220</v>
      </c>
      <c r="T12">
        <v>27166187</v>
      </c>
      <c r="U12" t="s">
        <v>221</v>
      </c>
      <c r="W12" t="s">
        <v>121</v>
      </c>
      <c r="X12" t="s">
        <v>222</v>
      </c>
      <c r="Y12">
        <v>60041425</v>
      </c>
      <c r="AB12">
        <v>3</v>
      </c>
      <c r="AC12" t="s">
        <v>224</v>
      </c>
      <c r="AD12" s="1">
        <v>36493</v>
      </c>
      <c r="AE12" t="s">
        <v>225</v>
      </c>
      <c r="AF12" s="1">
        <v>37239</v>
      </c>
      <c r="AG12" t="s">
        <v>226</v>
      </c>
      <c r="AH12" s="1">
        <v>39716</v>
      </c>
      <c r="AL12">
        <v>27594</v>
      </c>
      <c r="AM12" t="s">
        <v>227</v>
      </c>
      <c r="AN12" t="s">
        <v>228</v>
      </c>
      <c r="AO12" t="s">
        <v>67</v>
      </c>
      <c r="AP12" t="s">
        <v>229</v>
      </c>
      <c r="AQ12" t="s">
        <v>230</v>
      </c>
      <c r="AR12" t="s">
        <v>69</v>
      </c>
      <c r="AS12" t="s">
        <v>231</v>
      </c>
      <c r="AT12" t="s">
        <v>232</v>
      </c>
      <c r="AZ12" t="s">
        <v>76</v>
      </c>
      <c r="BA12" t="s">
        <v>98</v>
      </c>
      <c r="BB12" t="s">
        <v>233</v>
      </c>
      <c r="BF12" t="s">
        <v>79</v>
      </c>
    </row>
    <row r="13" spans="1:162" x14ac:dyDescent="0.25">
      <c r="A13" s="6">
        <v>99021556</v>
      </c>
      <c r="B13" t="s">
        <v>234</v>
      </c>
      <c r="C13" t="s">
        <v>235</v>
      </c>
      <c r="D13">
        <v>701420704</v>
      </c>
      <c r="E13" t="s">
        <v>52</v>
      </c>
      <c r="F13">
        <v>39</v>
      </c>
      <c r="H13" t="s">
        <v>53</v>
      </c>
      <c r="I13" t="s">
        <v>236</v>
      </c>
      <c r="J13">
        <v>60667710</v>
      </c>
      <c r="K13" t="s">
        <v>237</v>
      </c>
      <c r="O13" t="s">
        <v>162</v>
      </c>
      <c r="P13" t="s">
        <v>118</v>
      </c>
      <c r="Q13" t="s">
        <v>333</v>
      </c>
      <c r="R13" t="s">
        <v>164</v>
      </c>
      <c r="S13" t="s">
        <v>238</v>
      </c>
      <c r="W13" t="s">
        <v>121</v>
      </c>
      <c r="X13" t="s">
        <v>239</v>
      </c>
      <c r="Y13">
        <v>85602522</v>
      </c>
      <c r="AB13">
        <v>2</v>
      </c>
      <c r="AC13" t="s">
        <v>240</v>
      </c>
      <c r="AD13" s="1">
        <v>39801</v>
      </c>
      <c r="AE13" t="s">
        <v>241</v>
      </c>
      <c r="AF13" s="1">
        <v>41620</v>
      </c>
      <c r="AN13" t="s">
        <v>242</v>
      </c>
      <c r="AO13" t="s">
        <v>67</v>
      </c>
      <c r="AP13" t="s">
        <v>229</v>
      </c>
      <c r="AQ13" t="s">
        <v>243</v>
      </c>
      <c r="AR13" t="s">
        <v>69</v>
      </c>
      <c r="AS13" t="s">
        <v>244</v>
      </c>
      <c r="AT13" t="s">
        <v>245</v>
      </c>
      <c r="AU13" t="s">
        <v>246</v>
      </c>
      <c r="AZ13" t="s">
        <v>76</v>
      </c>
      <c r="BA13" t="s">
        <v>98</v>
      </c>
      <c r="BC13" t="s">
        <v>115</v>
      </c>
      <c r="BD13" t="s">
        <v>78</v>
      </c>
      <c r="BF13" t="s">
        <v>79</v>
      </c>
    </row>
    <row r="14" spans="1:162" x14ac:dyDescent="0.25">
      <c r="A14" s="6">
        <v>99022254</v>
      </c>
      <c r="B14" t="s">
        <v>247</v>
      </c>
      <c r="C14" t="s">
        <v>248</v>
      </c>
      <c r="D14">
        <v>108040478</v>
      </c>
      <c r="E14" t="s">
        <v>52</v>
      </c>
      <c r="F14">
        <v>49</v>
      </c>
      <c r="H14" t="s">
        <v>53</v>
      </c>
      <c r="I14" t="s">
        <v>249</v>
      </c>
      <c r="J14">
        <v>84113647</v>
      </c>
      <c r="K14" t="s">
        <v>250</v>
      </c>
      <c r="O14" t="s">
        <v>56</v>
      </c>
      <c r="P14" t="s">
        <v>251</v>
      </c>
      <c r="Q14" t="s">
        <v>333</v>
      </c>
      <c r="R14" t="s">
        <v>252</v>
      </c>
      <c r="S14" t="s">
        <v>253</v>
      </c>
      <c r="T14">
        <v>22880798</v>
      </c>
      <c r="U14" t="s">
        <v>254</v>
      </c>
      <c r="V14">
        <v>22880798</v>
      </c>
      <c r="W14" t="s">
        <v>121</v>
      </c>
      <c r="X14" t="s">
        <v>255</v>
      </c>
      <c r="Z14" t="s">
        <v>256</v>
      </c>
      <c r="AA14">
        <v>62719966</v>
      </c>
      <c r="AB14">
        <v>1</v>
      </c>
      <c r="AC14" t="s">
        <v>256</v>
      </c>
      <c r="AD14" s="1">
        <v>36532</v>
      </c>
      <c r="AM14" t="s">
        <v>257</v>
      </c>
      <c r="AN14" t="s">
        <v>258</v>
      </c>
      <c r="AO14" t="s">
        <v>67</v>
      </c>
      <c r="AP14" t="s">
        <v>229</v>
      </c>
      <c r="AQ14" t="s">
        <v>243</v>
      </c>
      <c r="AR14" t="s">
        <v>69</v>
      </c>
      <c r="AS14" t="s">
        <v>259</v>
      </c>
      <c r="AT14" t="s">
        <v>257</v>
      </c>
      <c r="AU14" t="s">
        <v>260</v>
      </c>
      <c r="AZ14" t="s">
        <v>261</v>
      </c>
      <c r="BA14" t="s">
        <v>98</v>
      </c>
      <c r="BF14" t="s">
        <v>79</v>
      </c>
    </row>
    <row r="15" spans="1:162" x14ac:dyDescent="0.25">
      <c r="A15" s="6">
        <v>99022330</v>
      </c>
      <c r="B15" t="s">
        <v>262</v>
      </c>
      <c r="C15" t="s">
        <v>263</v>
      </c>
      <c r="D15">
        <v>114690580</v>
      </c>
      <c r="E15" t="s">
        <v>52</v>
      </c>
      <c r="F15">
        <v>29</v>
      </c>
      <c r="H15" t="s">
        <v>53</v>
      </c>
      <c r="I15" t="s">
        <v>264</v>
      </c>
      <c r="J15">
        <v>87987369</v>
      </c>
      <c r="K15" t="s">
        <v>265</v>
      </c>
      <c r="O15" t="s">
        <v>162</v>
      </c>
      <c r="P15" t="s">
        <v>266</v>
      </c>
      <c r="Q15" t="s">
        <v>333</v>
      </c>
      <c r="R15" t="s">
        <v>164</v>
      </c>
      <c r="S15" t="s">
        <v>268</v>
      </c>
      <c r="U15" t="s">
        <v>269</v>
      </c>
      <c r="W15" t="s">
        <v>121</v>
      </c>
      <c r="X15" t="s">
        <v>270</v>
      </c>
      <c r="Y15">
        <v>86992983</v>
      </c>
      <c r="Z15" t="s">
        <v>271</v>
      </c>
      <c r="AA15">
        <v>27677056</v>
      </c>
      <c r="AM15" t="s">
        <v>272</v>
      </c>
      <c r="AN15" t="s">
        <v>273</v>
      </c>
      <c r="AO15" t="s">
        <v>67</v>
      </c>
      <c r="AP15" t="s">
        <v>229</v>
      </c>
      <c r="AQ15" t="s">
        <v>243</v>
      </c>
      <c r="AR15" t="s">
        <v>69</v>
      </c>
      <c r="AS15" t="s">
        <v>274</v>
      </c>
      <c r="AT15" t="s">
        <v>275</v>
      </c>
      <c r="AU15" t="s">
        <v>144</v>
      </c>
      <c r="AV15" t="s">
        <v>272</v>
      </c>
      <c r="AW15" t="s">
        <v>114</v>
      </c>
      <c r="AZ15" t="s">
        <v>76</v>
      </c>
      <c r="BA15" t="s">
        <v>98</v>
      </c>
      <c r="BB15" t="s">
        <v>276</v>
      </c>
      <c r="BD15" t="s">
        <v>78</v>
      </c>
      <c r="BF15" t="s">
        <v>79</v>
      </c>
    </row>
    <row r="16" spans="1:162" x14ac:dyDescent="0.25">
      <c r="A16" s="6">
        <v>99021656</v>
      </c>
      <c r="B16" t="s">
        <v>277</v>
      </c>
      <c r="C16" t="s">
        <v>278</v>
      </c>
      <c r="D16">
        <v>112020463</v>
      </c>
      <c r="E16" t="s">
        <v>52</v>
      </c>
      <c r="F16">
        <v>36</v>
      </c>
      <c r="H16" t="s">
        <v>53</v>
      </c>
      <c r="I16" t="s">
        <v>279</v>
      </c>
      <c r="J16">
        <v>85338902</v>
      </c>
      <c r="K16" t="s">
        <v>280</v>
      </c>
      <c r="O16" t="s">
        <v>56</v>
      </c>
      <c r="P16" t="s">
        <v>281</v>
      </c>
      <c r="S16" t="s">
        <v>282</v>
      </c>
      <c r="T16">
        <v>27612101</v>
      </c>
      <c r="U16" t="s">
        <v>283</v>
      </c>
      <c r="V16">
        <v>27632101</v>
      </c>
      <c r="W16" t="s">
        <v>121</v>
      </c>
      <c r="X16" t="s">
        <v>284</v>
      </c>
      <c r="Y16">
        <v>83035463</v>
      </c>
      <c r="AB16">
        <v>1</v>
      </c>
      <c r="AC16" t="s">
        <v>285</v>
      </c>
      <c r="AD16" s="1">
        <v>43014</v>
      </c>
      <c r="AM16" t="s">
        <v>286</v>
      </c>
      <c r="AN16" t="s">
        <v>287</v>
      </c>
      <c r="AO16" t="s">
        <v>67</v>
      </c>
      <c r="AP16" t="s">
        <v>67</v>
      </c>
      <c r="AQ16" t="s">
        <v>68</v>
      </c>
      <c r="AR16" t="s">
        <v>69</v>
      </c>
      <c r="AS16" t="s">
        <v>288</v>
      </c>
      <c r="AT16" t="s">
        <v>289</v>
      </c>
      <c r="AU16" t="s">
        <v>290</v>
      </c>
      <c r="AV16" t="s">
        <v>291</v>
      </c>
      <c r="AW16" t="s">
        <v>292</v>
      </c>
      <c r="AX16" t="s">
        <v>286</v>
      </c>
      <c r="AY16" t="s">
        <v>293</v>
      </c>
      <c r="AZ16" t="s">
        <v>76</v>
      </c>
      <c r="BA16" t="s">
        <v>98</v>
      </c>
      <c r="BB16" t="s">
        <v>294</v>
      </c>
      <c r="BC16" t="s">
        <v>115</v>
      </c>
      <c r="BF16" t="s">
        <v>79</v>
      </c>
    </row>
    <row r="17" spans="1:58" x14ac:dyDescent="0.25">
      <c r="A17" s="6">
        <v>99022388</v>
      </c>
      <c r="B17" t="s">
        <v>295</v>
      </c>
      <c r="C17" t="s">
        <v>296</v>
      </c>
      <c r="D17">
        <v>701590142</v>
      </c>
      <c r="E17" t="s">
        <v>52</v>
      </c>
      <c r="F17">
        <v>36</v>
      </c>
      <c r="H17" t="s">
        <v>53</v>
      </c>
      <c r="J17">
        <v>85437205</v>
      </c>
      <c r="K17" t="s">
        <v>297</v>
      </c>
      <c r="O17" t="s">
        <v>84</v>
      </c>
      <c r="P17" t="s">
        <v>104</v>
      </c>
      <c r="S17" t="s">
        <v>298</v>
      </c>
      <c r="T17">
        <v>27631942</v>
      </c>
      <c r="U17" t="s">
        <v>1251</v>
      </c>
      <c r="V17">
        <v>27631942</v>
      </c>
      <c r="W17" t="s">
        <v>121</v>
      </c>
      <c r="X17" t="s">
        <v>299</v>
      </c>
      <c r="Y17">
        <v>89758169</v>
      </c>
      <c r="AB17">
        <v>2</v>
      </c>
      <c r="AC17" t="s">
        <v>300</v>
      </c>
      <c r="AD17" s="1">
        <v>40200</v>
      </c>
      <c r="AE17" t="s">
        <v>301</v>
      </c>
      <c r="AF17" s="1">
        <v>43224</v>
      </c>
      <c r="AM17" t="s">
        <v>302</v>
      </c>
      <c r="AN17" t="s">
        <v>303</v>
      </c>
      <c r="AO17" t="s">
        <v>67</v>
      </c>
      <c r="AP17" t="s">
        <v>67</v>
      </c>
      <c r="AQ17" t="s">
        <v>68</v>
      </c>
      <c r="AR17" t="s">
        <v>69</v>
      </c>
      <c r="AS17" t="s">
        <v>304</v>
      </c>
      <c r="AT17" t="s">
        <v>305</v>
      </c>
      <c r="AU17" t="s">
        <v>306</v>
      </c>
      <c r="AZ17" t="s">
        <v>307</v>
      </c>
      <c r="BA17" t="s">
        <v>98</v>
      </c>
      <c r="BD17" t="s">
        <v>78</v>
      </c>
      <c r="BF17" t="s">
        <v>79</v>
      </c>
    </row>
    <row r="18" spans="1:58" x14ac:dyDescent="0.25">
      <c r="A18" s="6">
        <v>99022204</v>
      </c>
      <c r="B18" t="s">
        <v>1258</v>
      </c>
      <c r="C18" t="s">
        <v>1266</v>
      </c>
      <c r="D18">
        <v>701840378</v>
      </c>
      <c r="E18" t="s">
        <v>52</v>
      </c>
      <c r="F18">
        <v>32</v>
      </c>
      <c r="H18" t="s">
        <v>53</v>
      </c>
      <c r="I18" t="s">
        <v>308</v>
      </c>
      <c r="J18">
        <v>84727179</v>
      </c>
      <c r="K18" t="s">
        <v>309</v>
      </c>
      <c r="O18" t="s">
        <v>56</v>
      </c>
      <c r="P18" t="s">
        <v>310</v>
      </c>
      <c r="S18" t="s">
        <v>312</v>
      </c>
      <c r="T18">
        <v>72086217</v>
      </c>
      <c r="U18" t="s">
        <v>313</v>
      </c>
      <c r="V18">
        <v>70143396</v>
      </c>
      <c r="W18" t="s">
        <v>88</v>
      </c>
      <c r="AB18">
        <v>1</v>
      </c>
      <c r="AC18" t="s">
        <v>314</v>
      </c>
      <c r="AD18" s="1">
        <v>43713</v>
      </c>
      <c r="AM18" t="s">
        <v>315</v>
      </c>
      <c r="AN18" t="s">
        <v>316</v>
      </c>
      <c r="AO18" t="s">
        <v>317</v>
      </c>
      <c r="AP18" t="s">
        <v>318</v>
      </c>
      <c r="AQ18" t="s">
        <v>319</v>
      </c>
      <c r="AR18" t="s">
        <v>69</v>
      </c>
      <c r="AS18" t="s">
        <v>320</v>
      </c>
      <c r="AT18" t="s">
        <v>321</v>
      </c>
      <c r="AU18" t="s">
        <v>322</v>
      </c>
      <c r="AV18" t="s">
        <v>323</v>
      </c>
      <c r="AW18" t="s">
        <v>324</v>
      </c>
      <c r="AX18" t="s">
        <v>325</v>
      </c>
      <c r="AY18" t="s">
        <v>326</v>
      </c>
      <c r="AZ18" t="s">
        <v>327</v>
      </c>
      <c r="BA18" t="s">
        <v>98</v>
      </c>
      <c r="BB18" t="s">
        <v>328</v>
      </c>
      <c r="BD18" t="s">
        <v>78</v>
      </c>
      <c r="BF18" t="s">
        <v>79</v>
      </c>
    </row>
    <row r="19" spans="1:58" x14ac:dyDescent="0.25">
      <c r="A19" s="7">
        <v>99022378</v>
      </c>
      <c r="B19" t="s">
        <v>329</v>
      </c>
      <c r="C19" t="s">
        <v>330</v>
      </c>
      <c r="D19">
        <v>702650739</v>
      </c>
      <c r="E19" t="s">
        <v>52</v>
      </c>
      <c r="F19">
        <v>21</v>
      </c>
      <c r="H19" t="s">
        <v>53</v>
      </c>
      <c r="I19" t="s">
        <v>331</v>
      </c>
      <c r="J19">
        <v>84969228</v>
      </c>
      <c r="L19" t="s">
        <v>1272</v>
      </c>
      <c r="M19" t="s">
        <v>1273</v>
      </c>
      <c r="N19" t="s">
        <v>1274</v>
      </c>
      <c r="O19" t="s">
        <v>84</v>
      </c>
      <c r="P19" t="s">
        <v>332</v>
      </c>
      <c r="Q19" t="s">
        <v>333</v>
      </c>
      <c r="R19" t="s">
        <v>164</v>
      </c>
      <c r="S19" t="s">
        <v>334</v>
      </c>
      <c r="T19">
        <v>84435517</v>
      </c>
      <c r="U19" t="s">
        <v>335</v>
      </c>
      <c r="V19">
        <v>86797378</v>
      </c>
      <c r="W19" t="s">
        <v>121</v>
      </c>
      <c r="X19" t="s">
        <v>336</v>
      </c>
      <c r="Y19">
        <v>87757082</v>
      </c>
      <c r="Z19" t="s">
        <v>337</v>
      </c>
      <c r="AA19">
        <v>84473468</v>
      </c>
      <c r="AB19">
        <v>1</v>
      </c>
      <c r="AC19" t="s">
        <v>338</v>
      </c>
      <c r="AD19" s="1">
        <v>44197</v>
      </c>
      <c r="AM19" t="s">
        <v>339</v>
      </c>
      <c r="AN19" t="s">
        <v>340</v>
      </c>
      <c r="AO19" t="s">
        <v>317</v>
      </c>
      <c r="AP19" t="s">
        <v>318</v>
      </c>
      <c r="AQ19" t="s">
        <v>319</v>
      </c>
      <c r="AR19" t="s">
        <v>69</v>
      </c>
      <c r="AS19" t="s">
        <v>341</v>
      </c>
      <c r="AT19" t="s">
        <v>342</v>
      </c>
      <c r="AU19" t="s">
        <v>343</v>
      </c>
      <c r="AV19" t="s">
        <v>344</v>
      </c>
      <c r="AZ19" t="s">
        <v>345</v>
      </c>
      <c r="BA19" t="s">
        <v>98</v>
      </c>
      <c r="BB19" t="s">
        <v>346</v>
      </c>
      <c r="BD19" t="s">
        <v>78</v>
      </c>
      <c r="BF19" t="s">
        <v>79</v>
      </c>
    </row>
    <row r="20" spans="1:58" x14ac:dyDescent="0.25">
      <c r="A20" s="6" t="s">
        <v>347</v>
      </c>
      <c r="B20" t="s">
        <v>348</v>
      </c>
      <c r="C20" t="s">
        <v>349</v>
      </c>
      <c r="D20">
        <v>108260285</v>
      </c>
      <c r="E20" t="s">
        <v>52</v>
      </c>
      <c r="F20">
        <v>48</v>
      </c>
      <c r="H20" t="s">
        <v>53</v>
      </c>
      <c r="I20" t="s">
        <v>350</v>
      </c>
      <c r="J20">
        <v>86721091</v>
      </c>
      <c r="K20" t="s">
        <v>351</v>
      </c>
      <c r="O20" t="s">
        <v>103</v>
      </c>
      <c r="P20" t="s">
        <v>352</v>
      </c>
      <c r="S20" t="s">
        <v>353</v>
      </c>
      <c r="T20">
        <v>22630201</v>
      </c>
      <c r="U20" t="s">
        <v>354</v>
      </c>
      <c r="W20" t="s">
        <v>121</v>
      </c>
      <c r="X20" t="s">
        <v>355</v>
      </c>
      <c r="Y20">
        <v>85267293</v>
      </c>
      <c r="Z20" t="s">
        <v>356</v>
      </c>
      <c r="AA20">
        <v>88011659</v>
      </c>
      <c r="AB20">
        <v>3</v>
      </c>
      <c r="AC20" t="s">
        <v>356</v>
      </c>
      <c r="AD20" s="1">
        <v>33916</v>
      </c>
      <c r="AE20" t="s">
        <v>357</v>
      </c>
      <c r="AF20" s="1">
        <v>37085</v>
      </c>
      <c r="AG20" t="s">
        <v>358</v>
      </c>
      <c r="AH20" s="1">
        <v>41883</v>
      </c>
      <c r="AM20" t="s">
        <v>359</v>
      </c>
      <c r="AN20" t="s">
        <v>360</v>
      </c>
      <c r="AO20" t="s">
        <v>317</v>
      </c>
      <c r="AP20" t="s">
        <v>318</v>
      </c>
      <c r="AQ20" t="s">
        <v>319</v>
      </c>
      <c r="AR20" t="s">
        <v>69</v>
      </c>
      <c r="AS20" t="s">
        <v>361</v>
      </c>
      <c r="AT20" t="s">
        <v>362</v>
      </c>
      <c r="AU20" t="s">
        <v>72</v>
      </c>
      <c r="AV20" t="s">
        <v>363</v>
      </c>
      <c r="AW20" t="s">
        <v>364</v>
      </c>
      <c r="AX20" t="s">
        <v>365</v>
      </c>
      <c r="AY20" t="s">
        <v>114</v>
      </c>
      <c r="AZ20" t="s">
        <v>366</v>
      </c>
      <c r="BA20" t="s">
        <v>77</v>
      </c>
      <c r="BD20" t="s">
        <v>78</v>
      </c>
      <c r="BF20" t="s">
        <v>367</v>
      </c>
    </row>
    <row r="21" spans="1:58" x14ac:dyDescent="0.25">
      <c r="A21" s="6">
        <v>99022432</v>
      </c>
      <c r="B21" t="s">
        <v>368</v>
      </c>
      <c r="C21" t="s">
        <v>369</v>
      </c>
      <c r="D21">
        <v>305250093</v>
      </c>
      <c r="E21" t="s">
        <v>370</v>
      </c>
      <c r="F21">
        <v>20</v>
      </c>
      <c r="H21" t="s">
        <v>53</v>
      </c>
      <c r="I21" t="s">
        <v>371</v>
      </c>
      <c r="J21">
        <v>62025115</v>
      </c>
      <c r="K21" t="s">
        <v>372</v>
      </c>
      <c r="O21" t="s">
        <v>162</v>
      </c>
      <c r="P21" t="s">
        <v>373</v>
      </c>
      <c r="Q21" t="s">
        <v>374</v>
      </c>
      <c r="R21" t="s">
        <v>252</v>
      </c>
      <c r="S21" t="s">
        <v>375</v>
      </c>
      <c r="T21">
        <v>87177309</v>
      </c>
      <c r="U21" t="s">
        <v>376</v>
      </c>
      <c r="V21">
        <v>50175026</v>
      </c>
      <c r="W21" t="s">
        <v>88</v>
      </c>
      <c r="AM21" t="s">
        <v>377</v>
      </c>
      <c r="AN21" t="s">
        <v>378</v>
      </c>
      <c r="AO21" t="s">
        <v>67</v>
      </c>
      <c r="AP21" t="s">
        <v>379</v>
      </c>
      <c r="AQ21" t="s">
        <v>380</v>
      </c>
      <c r="AR21" t="s">
        <v>69</v>
      </c>
      <c r="AS21" t="s">
        <v>381</v>
      </c>
      <c r="AZ21" t="s">
        <v>382</v>
      </c>
      <c r="BA21" t="s">
        <v>77</v>
      </c>
      <c r="BD21" t="s">
        <v>78</v>
      </c>
      <c r="BF21" t="s">
        <v>79</v>
      </c>
    </row>
    <row r="22" spans="1:58" x14ac:dyDescent="0.25">
      <c r="A22" s="6">
        <v>99022387</v>
      </c>
      <c r="B22" t="s">
        <v>1265</v>
      </c>
      <c r="C22" t="s">
        <v>1267</v>
      </c>
      <c r="D22">
        <v>116270852</v>
      </c>
      <c r="E22" t="s">
        <v>52</v>
      </c>
      <c r="F22">
        <v>24</v>
      </c>
      <c r="H22" t="s">
        <v>53</v>
      </c>
      <c r="I22" t="s">
        <v>383</v>
      </c>
      <c r="J22">
        <v>64002129</v>
      </c>
      <c r="K22" t="s">
        <v>384</v>
      </c>
      <c r="O22" t="s">
        <v>84</v>
      </c>
      <c r="P22" t="s">
        <v>385</v>
      </c>
      <c r="S22" t="s">
        <v>386</v>
      </c>
      <c r="W22" t="s">
        <v>88</v>
      </c>
      <c r="X22" t="s">
        <v>387</v>
      </c>
      <c r="Z22" t="s">
        <v>388</v>
      </c>
      <c r="AB22">
        <v>1</v>
      </c>
      <c r="AC22" t="s">
        <v>389</v>
      </c>
      <c r="AD22" s="1">
        <v>42287</v>
      </c>
      <c r="AM22" t="s">
        <v>390</v>
      </c>
      <c r="AN22" t="s">
        <v>391</v>
      </c>
      <c r="AO22" t="s">
        <v>67</v>
      </c>
      <c r="AP22" t="s">
        <v>67</v>
      </c>
      <c r="AQ22" t="s">
        <v>68</v>
      </c>
      <c r="AR22" t="s">
        <v>69</v>
      </c>
      <c r="AS22" t="s">
        <v>304</v>
      </c>
      <c r="AT22" t="s">
        <v>392</v>
      </c>
      <c r="AU22" t="s">
        <v>393</v>
      </c>
      <c r="AV22" t="s">
        <v>394</v>
      </c>
      <c r="AW22" t="s">
        <v>393</v>
      </c>
      <c r="AX22" t="s">
        <v>395</v>
      </c>
      <c r="AY22" t="s">
        <v>396</v>
      </c>
      <c r="AZ22" t="s">
        <v>397</v>
      </c>
      <c r="BA22" t="s">
        <v>77</v>
      </c>
      <c r="BB22" t="s">
        <v>398</v>
      </c>
      <c r="BD22" t="s">
        <v>78</v>
      </c>
      <c r="BF22" t="s">
        <v>79</v>
      </c>
    </row>
    <row r="23" spans="1:58" x14ac:dyDescent="0.25">
      <c r="A23" s="6">
        <v>99022619</v>
      </c>
      <c r="B23" t="s">
        <v>277</v>
      </c>
      <c r="C23" t="s">
        <v>399</v>
      </c>
      <c r="D23">
        <v>701580897</v>
      </c>
      <c r="E23" t="s">
        <v>52</v>
      </c>
      <c r="F23">
        <v>36</v>
      </c>
      <c r="H23" t="s">
        <v>53</v>
      </c>
      <c r="I23" t="s">
        <v>400</v>
      </c>
      <c r="J23">
        <v>88868848</v>
      </c>
      <c r="K23" t="s">
        <v>401</v>
      </c>
      <c r="O23" t="s">
        <v>84</v>
      </c>
      <c r="P23" t="s">
        <v>402</v>
      </c>
      <c r="Q23" t="s">
        <v>219</v>
      </c>
      <c r="S23" t="s">
        <v>403</v>
      </c>
      <c r="T23">
        <v>27631013</v>
      </c>
      <c r="W23" t="s">
        <v>121</v>
      </c>
      <c r="X23" t="s">
        <v>404</v>
      </c>
      <c r="Y23">
        <v>27631013</v>
      </c>
      <c r="AB23">
        <v>1</v>
      </c>
      <c r="AC23" t="s">
        <v>405</v>
      </c>
      <c r="AD23" s="1">
        <v>42006</v>
      </c>
      <c r="AO23" t="s">
        <v>67</v>
      </c>
      <c r="AP23" t="s">
        <v>379</v>
      </c>
      <c r="AQ23" t="s">
        <v>380</v>
      </c>
      <c r="AR23" t="s">
        <v>69</v>
      </c>
      <c r="AS23" t="s">
        <v>406</v>
      </c>
      <c r="AT23" t="s">
        <v>407</v>
      </c>
      <c r="AU23" t="s">
        <v>408</v>
      </c>
      <c r="AZ23" t="s">
        <v>409</v>
      </c>
      <c r="BA23" t="s">
        <v>98</v>
      </c>
      <c r="BB23" t="s">
        <v>410</v>
      </c>
      <c r="BD23" t="s">
        <v>78</v>
      </c>
      <c r="BF23" t="s">
        <v>79</v>
      </c>
    </row>
    <row r="24" spans="1:58" x14ac:dyDescent="0.25">
      <c r="A24" s="6">
        <v>99022132</v>
      </c>
      <c r="B24" t="s">
        <v>99</v>
      </c>
      <c r="C24" t="s">
        <v>411</v>
      </c>
      <c r="D24">
        <v>108820527</v>
      </c>
      <c r="E24" t="s">
        <v>52</v>
      </c>
      <c r="F24">
        <v>46</v>
      </c>
      <c r="H24" t="s">
        <v>53</v>
      </c>
      <c r="I24" t="s">
        <v>412</v>
      </c>
      <c r="J24">
        <v>89938062</v>
      </c>
      <c r="K24" t="s">
        <v>413</v>
      </c>
      <c r="O24" t="s">
        <v>56</v>
      </c>
      <c r="S24" t="s">
        <v>414</v>
      </c>
      <c r="T24">
        <v>88035845</v>
      </c>
      <c r="U24" t="s">
        <v>415</v>
      </c>
      <c r="W24" t="s">
        <v>88</v>
      </c>
      <c r="Z24" t="s">
        <v>416</v>
      </c>
      <c r="AA24">
        <v>88058526</v>
      </c>
      <c r="AB24">
        <v>2</v>
      </c>
      <c r="AC24" t="s">
        <v>417</v>
      </c>
      <c r="AD24" s="1">
        <v>37385</v>
      </c>
      <c r="AE24" t="s">
        <v>418</v>
      </c>
      <c r="AF24" s="1">
        <v>38757</v>
      </c>
      <c r="AN24" t="s">
        <v>419</v>
      </c>
      <c r="AO24" t="s">
        <v>67</v>
      </c>
      <c r="AP24" t="s">
        <v>379</v>
      </c>
      <c r="AQ24" t="s">
        <v>380</v>
      </c>
      <c r="AR24" t="s">
        <v>69</v>
      </c>
      <c r="AS24" t="s">
        <v>420</v>
      </c>
      <c r="AT24" t="s">
        <v>421</v>
      </c>
      <c r="AU24" t="s">
        <v>422</v>
      </c>
      <c r="AV24" t="s">
        <v>423</v>
      </c>
      <c r="AW24" t="s">
        <v>424</v>
      </c>
      <c r="AX24" t="s">
        <v>425</v>
      </c>
      <c r="AY24" t="s">
        <v>426</v>
      </c>
      <c r="AZ24" t="s">
        <v>427</v>
      </c>
      <c r="BA24" t="s">
        <v>98</v>
      </c>
      <c r="BD24" t="s">
        <v>78</v>
      </c>
      <c r="BF24" t="s">
        <v>79</v>
      </c>
    </row>
    <row r="25" spans="1:58" x14ac:dyDescent="0.25">
      <c r="A25" s="6">
        <v>99022394</v>
      </c>
      <c r="B25" t="s">
        <v>428</v>
      </c>
      <c r="C25" t="s">
        <v>429</v>
      </c>
      <c r="D25">
        <v>702450117</v>
      </c>
      <c r="E25" t="s">
        <v>52</v>
      </c>
      <c r="F25">
        <v>24</v>
      </c>
      <c r="H25" t="s">
        <v>53</v>
      </c>
      <c r="I25" t="s">
        <v>430</v>
      </c>
      <c r="J25">
        <v>61710252</v>
      </c>
      <c r="K25" t="s">
        <v>1279</v>
      </c>
      <c r="L25" t="s">
        <v>1272</v>
      </c>
      <c r="M25" t="s">
        <v>1273</v>
      </c>
      <c r="N25" t="s">
        <v>1274</v>
      </c>
      <c r="O25" t="s">
        <v>431</v>
      </c>
      <c r="P25" t="s">
        <v>432</v>
      </c>
      <c r="Q25" t="s">
        <v>267</v>
      </c>
      <c r="R25" t="s">
        <v>433</v>
      </c>
      <c r="S25" t="s">
        <v>434</v>
      </c>
      <c r="T25">
        <v>87991079</v>
      </c>
      <c r="W25" t="s">
        <v>88</v>
      </c>
      <c r="AB25">
        <v>1</v>
      </c>
      <c r="AM25" t="s">
        <v>435</v>
      </c>
      <c r="AN25" t="s">
        <v>436</v>
      </c>
      <c r="AO25" t="s">
        <v>67</v>
      </c>
      <c r="AP25" t="s">
        <v>379</v>
      </c>
      <c r="AQ25" t="s">
        <v>71</v>
      </c>
      <c r="AR25" t="s">
        <v>69</v>
      </c>
      <c r="AS25" t="s">
        <v>420</v>
      </c>
      <c r="AT25" t="s">
        <v>435</v>
      </c>
      <c r="AZ25" t="s">
        <v>196</v>
      </c>
      <c r="BA25" t="s">
        <v>98</v>
      </c>
      <c r="BB25" t="s">
        <v>437</v>
      </c>
      <c r="BD25" t="s">
        <v>78</v>
      </c>
      <c r="BF25" t="s">
        <v>79</v>
      </c>
    </row>
    <row r="26" spans="1:58" x14ac:dyDescent="0.25">
      <c r="A26" s="6">
        <v>99021673</v>
      </c>
      <c r="B26" t="s">
        <v>438</v>
      </c>
      <c r="C26" t="s">
        <v>439</v>
      </c>
      <c r="D26">
        <v>111850658</v>
      </c>
      <c r="E26" t="s">
        <v>52</v>
      </c>
      <c r="F26">
        <v>37</v>
      </c>
      <c r="H26" t="s">
        <v>53</v>
      </c>
      <c r="I26" t="s">
        <v>440</v>
      </c>
      <c r="J26">
        <v>83191801</v>
      </c>
      <c r="K26" t="s">
        <v>441</v>
      </c>
      <c r="L26" t="s">
        <v>1272</v>
      </c>
      <c r="M26" t="s">
        <v>1273</v>
      </c>
      <c r="N26" t="s">
        <v>1274</v>
      </c>
      <c r="O26" t="s">
        <v>442</v>
      </c>
      <c r="P26" t="s">
        <v>57</v>
      </c>
      <c r="S26" t="s">
        <v>443</v>
      </c>
      <c r="U26" t="s">
        <v>444</v>
      </c>
      <c r="W26" t="s">
        <v>121</v>
      </c>
      <c r="X26" t="s">
        <v>445</v>
      </c>
      <c r="Y26">
        <v>88599508</v>
      </c>
      <c r="AB26">
        <v>2</v>
      </c>
      <c r="AC26" t="s">
        <v>446</v>
      </c>
      <c r="AD26" s="1">
        <v>39071</v>
      </c>
      <c r="AE26" t="s">
        <v>447</v>
      </c>
      <c r="AF26" s="1">
        <v>42075</v>
      </c>
      <c r="AO26" t="s">
        <v>67</v>
      </c>
      <c r="AP26" t="s">
        <v>379</v>
      </c>
      <c r="AQ26" t="s">
        <v>448</v>
      </c>
      <c r="AR26" t="s">
        <v>69</v>
      </c>
      <c r="AS26" t="s">
        <v>449</v>
      </c>
      <c r="AT26" t="s">
        <v>450</v>
      </c>
      <c r="AU26" t="s">
        <v>451</v>
      </c>
      <c r="AZ26" t="s">
        <v>76</v>
      </c>
      <c r="BA26" t="s">
        <v>98</v>
      </c>
      <c r="BC26" t="s">
        <v>115</v>
      </c>
      <c r="BD26" t="s">
        <v>78</v>
      </c>
      <c r="BF26" t="s">
        <v>79</v>
      </c>
    </row>
    <row r="27" spans="1:58" x14ac:dyDescent="0.25">
      <c r="A27" s="6">
        <v>99022333</v>
      </c>
      <c r="B27" t="s">
        <v>452</v>
      </c>
      <c r="C27" t="s">
        <v>453</v>
      </c>
      <c r="D27">
        <v>304380220</v>
      </c>
      <c r="E27" t="s">
        <v>52</v>
      </c>
      <c r="F27">
        <v>31</v>
      </c>
      <c r="H27" t="s">
        <v>53</v>
      </c>
      <c r="I27" t="s">
        <v>454</v>
      </c>
      <c r="J27">
        <v>88192632</v>
      </c>
      <c r="K27" t="s">
        <v>455</v>
      </c>
      <c r="L27" t="s">
        <v>1272</v>
      </c>
      <c r="M27" t="s">
        <v>1273</v>
      </c>
      <c r="N27" t="s">
        <v>1274</v>
      </c>
      <c r="O27" t="s">
        <v>442</v>
      </c>
      <c r="P27" t="s">
        <v>456</v>
      </c>
      <c r="S27" t="s">
        <v>457</v>
      </c>
      <c r="U27" t="s">
        <v>458</v>
      </c>
      <c r="W27" t="s">
        <v>203</v>
      </c>
      <c r="X27" t="s">
        <v>459</v>
      </c>
      <c r="Y27">
        <v>84539699</v>
      </c>
      <c r="AB27">
        <v>1</v>
      </c>
      <c r="AC27" t="s">
        <v>460</v>
      </c>
      <c r="AD27" s="1">
        <v>42185</v>
      </c>
      <c r="AM27" t="s">
        <v>461</v>
      </c>
      <c r="AN27" t="s">
        <v>462</v>
      </c>
      <c r="AO27" t="s">
        <v>67</v>
      </c>
      <c r="AP27" t="s">
        <v>379</v>
      </c>
      <c r="AQ27" t="s">
        <v>448</v>
      </c>
      <c r="AR27" t="s">
        <v>69</v>
      </c>
      <c r="AS27" t="s">
        <v>463</v>
      </c>
      <c r="AZ27" t="s">
        <v>196</v>
      </c>
      <c r="BA27" t="s">
        <v>98</v>
      </c>
      <c r="BC27" t="s">
        <v>115</v>
      </c>
      <c r="BF27" t="s">
        <v>79</v>
      </c>
    </row>
    <row r="28" spans="1:58" x14ac:dyDescent="0.25">
      <c r="A28" s="6">
        <v>99022365</v>
      </c>
      <c r="B28" t="s">
        <v>464</v>
      </c>
      <c r="C28" t="s">
        <v>465</v>
      </c>
      <c r="D28">
        <v>204920786</v>
      </c>
      <c r="E28" t="s">
        <v>52</v>
      </c>
      <c r="F28">
        <v>46</v>
      </c>
      <c r="H28" t="s">
        <v>53</v>
      </c>
      <c r="I28" t="s">
        <v>466</v>
      </c>
      <c r="J28">
        <v>63996375</v>
      </c>
      <c r="K28" t="s">
        <v>467</v>
      </c>
      <c r="L28" t="s">
        <v>1281</v>
      </c>
      <c r="M28" t="s">
        <v>1280</v>
      </c>
      <c r="N28" t="s">
        <v>1274</v>
      </c>
      <c r="O28" t="s">
        <v>468</v>
      </c>
      <c r="P28" t="s">
        <v>469</v>
      </c>
      <c r="S28" t="s">
        <v>470</v>
      </c>
      <c r="U28" t="s">
        <v>471</v>
      </c>
      <c r="W28" t="s">
        <v>121</v>
      </c>
      <c r="Y28">
        <v>86200696</v>
      </c>
      <c r="Z28" t="s">
        <v>472</v>
      </c>
      <c r="AB28">
        <v>3</v>
      </c>
      <c r="AC28" t="s">
        <v>473</v>
      </c>
      <c r="AD28" s="1">
        <v>36556</v>
      </c>
      <c r="AE28" t="s">
        <v>474</v>
      </c>
      <c r="AF28" s="1">
        <v>37123</v>
      </c>
      <c r="AG28" t="s">
        <v>475</v>
      </c>
      <c r="AH28" s="1">
        <v>39137</v>
      </c>
      <c r="AM28" t="s">
        <v>476</v>
      </c>
      <c r="AN28" s="1">
        <v>43956</v>
      </c>
      <c r="AO28" t="s">
        <v>67</v>
      </c>
      <c r="AP28" t="s">
        <v>379</v>
      </c>
      <c r="AQ28" t="s">
        <v>448</v>
      </c>
      <c r="AR28" t="s">
        <v>69</v>
      </c>
      <c r="AS28" t="s">
        <v>463</v>
      </c>
      <c r="AT28" t="s">
        <v>477</v>
      </c>
      <c r="AU28" t="s">
        <v>292</v>
      </c>
      <c r="AZ28" t="s">
        <v>478</v>
      </c>
      <c r="BA28" t="s">
        <v>98</v>
      </c>
      <c r="BB28" t="s">
        <v>479</v>
      </c>
      <c r="BC28" t="s">
        <v>115</v>
      </c>
      <c r="BF28" t="s">
        <v>367</v>
      </c>
    </row>
    <row r="29" spans="1:58" x14ac:dyDescent="0.25">
      <c r="A29" s="6">
        <v>99022355</v>
      </c>
      <c r="B29" t="s">
        <v>1259</v>
      </c>
      <c r="C29" t="s">
        <v>1282</v>
      </c>
      <c r="D29">
        <v>207080295</v>
      </c>
      <c r="E29" t="s">
        <v>52</v>
      </c>
      <c r="F29">
        <v>29</v>
      </c>
      <c r="H29" t="s">
        <v>53</v>
      </c>
      <c r="I29" t="s">
        <v>480</v>
      </c>
      <c r="J29">
        <v>89614081</v>
      </c>
      <c r="K29" t="s">
        <v>481</v>
      </c>
      <c r="L29" t="s">
        <v>1272</v>
      </c>
      <c r="M29" t="s">
        <v>1273</v>
      </c>
      <c r="N29" t="s">
        <v>1274</v>
      </c>
      <c r="O29" t="s">
        <v>482</v>
      </c>
      <c r="P29" t="s">
        <v>57</v>
      </c>
      <c r="S29" t="s">
        <v>483</v>
      </c>
      <c r="U29" t="s">
        <v>484</v>
      </c>
      <c r="W29" t="s">
        <v>121</v>
      </c>
      <c r="X29" t="s">
        <v>485</v>
      </c>
      <c r="AB29">
        <v>1</v>
      </c>
      <c r="AC29" t="s">
        <v>486</v>
      </c>
      <c r="AD29" s="1">
        <v>42363</v>
      </c>
      <c r="AM29" t="s">
        <v>487</v>
      </c>
      <c r="AN29" s="1">
        <v>43052</v>
      </c>
      <c r="AO29" t="s">
        <v>67</v>
      </c>
      <c r="AP29" t="s">
        <v>379</v>
      </c>
      <c r="AQ29" t="s">
        <v>448</v>
      </c>
      <c r="AR29" t="s">
        <v>69</v>
      </c>
      <c r="AS29" t="s">
        <v>449</v>
      </c>
      <c r="AT29" t="s">
        <v>488</v>
      </c>
      <c r="AU29" t="s">
        <v>489</v>
      </c>
      <c r="AZ29" t="s">
        <v>490</v>
      </c>
      <c r="BA29" t="s">
        <v>98</v>
      </c>
      <c r="BC29" t="s">
        <v>115</v>
      </c>
      <c r="BF29" t="s">
        <v>79</v>
      </c>
    </row>
    <row r="30" spans="1:58" x14ac:dyDescent="0.25">
      <c r="A30" s="7">
        <v>99022445</v>
      </c>
      <c r="B30" t="s">
        <v>491</v>
      </c>
      <c r="C30" t="s">
        <v>492</v>
      </c>
      <c r="D30">
        <v>701720132</v>
      </c>
      <c r="E30" t="s">
        <v>52</v>
      </c>
      <c r="F30">
        <v>34</v>
      </c>
      <c r="H30" t="s">
        <v>53</v>
      </c>
      <c r="I30" t="s">
        <v>493</v>
      </c>
      <c r="J30">
        <v>83645119</v>
      </c>
      <c r="K30" t="s">
        <v>494</v>
      </c>
      <c r="O30" t="s">
        <v>442</v>
      </c>
      <c r="P30" t="s">
        <v>495</v>
      </c>
      <c r="S30" t="s">
        <v>496</v>
      </c>
      <c r="U30" t="s">
        <v>497</v>
      </c>
      <c r="W30" t="s">
        <v>88</v>
      </c>
      <c r="AO30" t="s">
        <v>67</v>
      </c>
      <c r="AP30" t="s">
        <v>229</v>
      </c>
      <c r="AQ30" t="s">
        <v>230</v>
      </c>
      <c r="AR30" t="s">
        <v>69</v>
      </c>
      <c r="AS30" t="s">
        <v>498</v>
      </c>
      <c r="AT30" t="s">
        <v>499</v>
      </c>
      <c r="AU30" t="s">
        <v>500</v>
      </c>
      <c r="BA30" t="s">
        <v>98</v>
      </c>
      <c r="BB30" t="s">
        <v>501</v>
      </c>
      <c r="BC30" t="s">
        <v>115</v>
      </c>
      <c r="BF30" t="s">
        <v>79</v>
      </c>
    </row>
    <row r="31" spans="1:58" x14ac:dyDescent="0.25">
      <c r="A31" s="6">
        <v>99022252</v>
      </c>
      <c r="B31" t="s">
        <v>502</v>
      </c>
      <c r="C31" t="s">
        <v>503</v>
      </c>
      <c r="D31">
        <v>101291012</v>
      </c>
      <c r="E31" t="s">
        <v>52</v>
      </c>
      <c r="F31">
        <v>34</v>
      </c>
      <c r="H31" t="s">
        <v>53</v>
      </c>
      <c r="I31" t="s">
        <v>504</v>
      </c>
      <c r="J31">
        <v>86278070</v>
      </c>
      <c r="K31" t="s">
        <v>505</v>
      </c>
      <c r="L31" t="s">
        <v>1284</v>
      </c>
      <c r="M31" t="s">
        <v>1285</v>
      </c>
      <c r="N31" t="s">
        <v>1274</v>
      </c>
      <c r="O31" t="s">
        <v>431</v>
      </c>
      <c r="P31" t="s">
        <v>506</v>
      </c>
      <c r="Q31" t="s">
        <v>333</v>
      </c>
      <c r="R31" t="s">
        <v>164</v>
      </c>
      <c r="S31" t="s">
        <v>507</v>
      </c>
      <c r="U31" t="s">
        <v>502</v>
      </c>
      <c r="W31" t="s">
        <v>88</v>
      </c>
      <c r="Z31" t="s">
        <v>508</v>
      </c>
      <c r="AM31" t="s">
        <v>509</v>
      </c>
      <c r="AN31" s="1">
        <v>42918</v>
      </c>
      <c r="AO31" t="s">
        <v>67</v>
      </c>
      <c r="AP31" t="s">
        <v>379</v>
      </c>
      <c r="AQ31" t="s">
        <v>448</v>
      </c>
      <c r="AR31" t="s">
        <v>69</v>
      </c>
      <c r="AS31" t="s">
        <v>449</v>
      </c>
      <c r="AT31" t="s">
        <v>509</v>
      </c>
      <c r="AU31" t="s">
        <v>510</v>
      </c>
      <c r="AZ31" t="s">
        <v>196</v>
      </c>
      <c r="BA31" t="s">
        <v>98</v>
      </c>
      <c r="BC31" t="s">
        <v>115</v>
      </c>
      <c r="BD31" t="s">
        <v>78</v>
      </c>
      <c r="BF31" t="s">
        <v>79</v>
      </c>
    </row>
    <row r="32" spans="1:58" x14ac:dyDescent="0.25">
      <c r="A32" s="6">
        <v>99022405</v>
      </c>
      <c r="B32" t="s">
        <v>511</v>
      </c>
      <c r="C32" t="s">
        <v>512</v>
      </c>
      <c r="D32">
        <v>702680927</v>
      </c>
      <c r="E32" t="s">
        <v>52</v>
      </c>
      <c r="F32">
        <v>21</v>
      </c>
      <c r="H32" t="s">
        <v>53</v>
      </c>
      <c r="I32" t="s">
        <v>513</v>
      </c>
      <c r="J32">
        <v>63327162</v>
      </c>
      <c r="K32" t="s">
        <v>514</v>
      </c>
      <c r="L32" t="s">
        <v>1286</v>
      </c>
      <c r="M32" t="s">
        <v>1273</v>
      </c>
      <c r="N32" t="s">
        <v>1274</v>
      </c>
      <c r="O32" t="s">
        <v>515</v>
      </c>
      <c r="S32" t="s">
        <v>516</v>
      </c>
      <c r="U32" t="s">
        <v>517</v>
      </c>
      <c r="W32" t="s">
        <v>88</v>
      </c>
      <c r="AM32" t="s">
        <v>518</v>
      </c>
      <c r="AN32" t="s">
        <v>519</v>
      </c>
      <c r="AO32" t="s">
        <v>67</v>
      </c>
      <c r="AP32" t="s">
        <v>67</v>
      </c>
      <c r="AQ32" t="s">
        <v>71</v>
      </c>
      <c r="AR32" t="s">
        <v>69</v>
      </c>
      <c r="AS32" t="s">
        <v>112</v>
      </c>
      <c r="AT32" t="s">
        <v>518</v>
      </c>
      <c r="AU32" t="s">
        <v>520</v>
      </c>
      <c r="AZ32" t="s">
        <v>521</v>
      </c>
      <c r="BA32" t="s">
        <v>98</v>
      </c>
      <c r="BF32" t="s">
        <v>79</v>
      </c>
    </row>
    <row r="33" spans="1:58" x14ac:dyDescent="0.25">
      <c r="A33" s="6">
        <v>99022058</v>
      </c>
      <c r="B33" t="s">
        <v>522</v>
      </c>
      <c r="C33" t="s">
        <v>523</v>
      </c>
      <c r="D33">
        <v>206440976</v>
      </c>
      <c r="E33" t="s">
        <v>52</v>
      </c>
      <c r="F33">
        <v>32</v>
      </c>
      <c r="H33" t="s">
        <v>53</v>
      </c>
      <c r="I33" t="s">
        <v>524</v>
      </c>
      <c r="J33">
        <v>89395874</v>
      </c>
      <c r="K33" t="s">
        <v>525</v>
      </c>
      <c r="O33" t="s">
        <v>526</v>
      </c>
      <c r="P33" t="s">
        <v>527</v>
      </c>
      <c r="Q33" t="s">
        <v>528</v>
      </c>
      <c r="R33" t="s">
        <v>164</v>
      </c>
      <c r="S33" t="s">
        <v>529</v>
      </c>
      <c r="U33" t="s">
        <v>530</v>
      </c>
      <c r="W33" t="s">
        <v>88</v>
      </c>
      <c r="Z33" t="s">
        <v>531</v>
      </c>
      <c r="AM33" t="s">
        <v>532</v>
      </c>
      <c r="AN33" t="s">
        <v>1283</v>
      </c>
      <c r="AO33" t="s">
        <v>67</v>
      </c>
      <c r="AP33" t="s">
        <v>379</v>
      </c>
      <c r="AQ33" t="s">
        <v>448</v>
      </c>
      <c r="AR33" t="s">
        <v>69</v>
      </c>
      <c r="AS33" t="s">
        <v>449</v>
      </c>
      <c r="AT33" t="s">
        <v>533</v>
      </c>
      <c r="AU33" t="s">
        <v>293</v>
      </c>
      <c r="AV33" t="s">
        <v>534</v>
      </c>
      <c r="AW33" t="s">
        <v>72</v>
      </c>
      <c r="AZ33" t="s">
        <v>535</v>
      </c>
      <c r="BA33" t="s">
        <v>98</v>
      </c>
      <c r="BB33" t="s">
        <v>536</v>
      </c>
      <c r="BC33" t="s">
        <v>115</v>
      </c>
      <c r="BF33" t="s">
        <v>79</v>
      </c>
    </row>
    <row r="34" spans="1:58" x14ac:dyDescent="0.25">
      <c r="A34" s="6">
        <v>99022183</v>
      </c>
      <c r="B34" t="s">
        <v>1238</v>
      </c>
      <c r="C34" t="s">
        <v>537</v>
      </c>
      <c r="D34">
        <v>503710697</v>
      </c>
      <c r="E34" t="s">
        <v>52</v>
      </c>
      <c r="F34">
        <v>31</v>
      </c>
      <c r="H34" t="s">
        <v>53</v>
      </c>
      <c r="I34" t="s">
        <v>538</v>
      </c>
      <c r="J34">
        <v>83143596</v>
      </c>
      <c r="K34" t="s">
        <v>539</v>
      </c>
      <c r="O34" t="s">
        <v>431</v>
      </c>
      <c r="P34" t="s">
        <v>540</v>
      </c>
      <c r="Q34" t="s">
        <v>541</v>
      </c>
      <c r="R34" t="s">
        <v>164</v>
      </c>
      <c r="S34" t="s">
        <v>542</v>
      </c>
      <c r="U34" t="s">
        <v>543</v>
      </c>
      <c r="W34" t="s">
        <v>121</v>
      </c>
      <c r="X34" t="s">
        <v>544</v>
      </c>
      <c r="Y34">
        <v>83104391</v>
      </c>
      <c r="Z34" t="s">
        <v>545</v>
      </c>
      <c r="AB34">
        <v>1</v>
      </c>
      <c r="AC34" t="s">
        <v>546</v>
      </c>
      <c r="AD34" s="1">
        <v>43911</v>
      </c>
      <c r="AM34" t="s">
        <v>547</v>
      </c>
      <c r="AN34" t="s">
        <v>548</v>
      </c>
      <c r="AO34" t="s">
        <v>317</v>
      </c>
      <c r="AP34" t="s">
        <v>549</v>
      </c>
      <c r="AQ34" t="s">
        <v>550</v>
      </c>
      <c r="AR34" t="s">
        <v>69</v>
      </c>
      <c r="AS34" t="s">
        <v>551</v>
      </c>
      <c r="AT34" t="s">
        <v>552</v>
      </c>
      <c r="AU34" t="s">
        <v>72</v>
      </c>
      <c r="AZ34" t="s">
        <v>478</v>
      </c>
      <c r="BA34" t="s">
        <v>98</v>
      </c>
      <c r="BB34" t="s">
        <v>553</v>
      </c>
      <c r="BC34" t="s">
        <v>115</v>
      </c>
      <c r="BD34" t="s">
        <v>78</v>
      </c>
      <c r="BF34" t="s">
        <v>79</v>
      </c>
    </row>
    <row r="35" spans="1:58" x14ac:dyDescent="0.25">
      <c r="A35" s="6">
        <v>99021617</v>
      </c>
      <c r="B35" t="s">
        <v>554</v>
      </c>
      <c r="C35" t="s">
        <v>555</v>
      </c>
      <c r="D35">
        <v>701570393</v>
      </c>
      <c r="E35" t="s">
        <v>52</v>
      </c>
      <c r="F35">
        <v>36</v>
      </c>
      <c r="H35" t="s">
        <v>53</v>
      </c>
      <c r="I35" t="s">
        <v>556</v>
      </c>
      <c r="J35">
        <v>83183814</v>
      </c>
      <c r="K35" t="s">
        <v>557</v>
      </c>
      <c r="L35" t="s">
        <v>1272</v>
      </c>
      <c r="M35" t="s">
        <v>1273</v>
      </c>
      <c r="N35" t="s">
        <v>1274</v>
      </c>
      <c r="O35" t="s">
        <v>431</v>
      </c>
      <c r="P35" t="s">
        <v>558</v>
      </c>
      <c r="Q35" t="s">
        <v>267</v>
      </c>
      <c r="R35" t="s">
        <v>164</v>
      </c>
      <c r="S35" t="s">
        <v>559</v>
      </c>
      <c r="T35">
        <v>27638417</v>
      </c>
      <c r="U35" t="s">
        <v>560</v>
      </c>
      <c r="V35">
        <v>27638417</v>
      </c>
      <c r="W35" t="s">
        <v>88</v>
      </c>
      <c r="Z35" t="s">
        <v>561</v>
      </c>
      <c r="AM35" t="s">
        <v>562</v>
      </c>
      <c r="AO35" t="s">
        <v>317</v>
      </c>
      <c r="AP35" t="s">
        <v>549</v>
      </c>
      <c r="AQ35" t="s">
        <v>550</v>
      </c>
      <c r="AR35" t="s">
        <v>69</v>
      </c>
      <c r="AS35" t="s">
        <v>564</v>
      </c>
      <c r="AT35" t="s">
        <v>562</v>
      </c>
      <c r="AU35" t="s">
        <v>565</v>
      </c>
      <c r="AZ35" t="s">
        <v>196</v>
      </c>
      <c r="BA35" t="s">
        <v>98</v>
      </c>
      <c r="BB35" t="s">
        <v>566</v>
      </c>
      <c r="BC35" t="s">
        <v>115</v>
      </c>
      <c r="BD35" t="s">
        <v>78</v>
      </c>
      <c r="BF35" t="s">
        <v>367</v>
      </c>
    </row>
    <row r="36" spans="1:58" x14ac:dyDescent="0.25">
      <c r="A36" s="6">
        <v>99022422</v>
      </c>
      <c r="B36" t="s">
        <v>567</v>
      </c>
      <c r="C36" t="s">
        <v>568</v>
      </c>
      <c r="D36">
        <v>702160700</v>
      </c>
      <c r="E36" t="s">
        <v>52</v>
      </c>
      <c r="F36">
        <v>27</v>
      </c>
      <c r="H36" t="s">
        <v>53</v>
      </c>
      <c r="I36" t="s">
        <v>569</v>
      </c>
      <c r="J36">
        <v>60402634</v>
      </c>
      <c r="K36" t="s">
        <v>570</v>
      </c>
      <c r="O36" t="s">
        <v>431</v>
      </c>
      <c r="P36" t="s">
        <v>571</v>
      </c>
      <c r="Q36" t="s">
        <v>572</v>
      </c>
      <c r="R36" t="s">
        <v>164</v>
      </c>
      <c r="S36" t="s">
        <v>573</v>
      </c>
      <c r="T36">
        <v>63340307</v>
      </c>
      <c r="U36" t="s">
        <v>574</v>
      </c>
      <c r="V36">
        <v>63340307</v>
      </c>
      <c r="W36" t="s">
        <v>88</v>
      </c>
      <c r="Z36" t="s">
        <v>575</v>
      </c>
      <c r="AA36">
        <v>89396265</v>
      </c>
      <c r="AM36" t="s">
        <v>576</v>
      </c>
      <c r="AN36" t="s">
        <v>577</v>
      </c>
      <c r="AO36" t="s">
        <v>317</v>
      </c>
      <c r="AP36" t="s">
        <v>549</v>
      </c>
      <c r="AQ36" t="s">
        <v>550</v>
      </c>
      <c r="AR36" t="s">
        <v>69</v>
      </c>
      <c r="AS36" t="s">
        <v>578</v>
      </c>
      <c r="AT36" t="s">
        <v>547</v>
      </c>
      <c r="AU36" t="s">
        <v>579</v>
      </c>
      <c r="AZ36" t="s">
        <v>196</v>
      </c>
      <c r="BA36" t="s">
        <v>98</v>
      </c>
      <c r="BB36" t="s">
        <v>580</v>
      </c>
      <c r="BF36" t="s">
        <v>79</v>
      </c>
    </row>
    <row r="37" spans="1:58" x14ac:dyDescent="0.25">
      <c r="A37" s="6">
        <v>99022385</v>
      </c>
      <c r="B37" t="s">
        <v>581</v>
      </c>
      <c r="C37" t="s">
        <v>582</v>
      </c>
      <c r="D37">
        <v>302260512</v>
      </c>
      <c r="E37" t="s">
        <v>52</v>
      </c>
      <c r="F37">
        <v>62</v>
      </c>
      <c r="H37" t="s">
        <v>53</v>
      </c>
      <c r="I37" t="s">
        <v>583</v>
      </c>
      <c r="J37">
        <v>88092359</v>
      </c>
      <c r="K37" t="s">
        <v>584</v>
      </c>
      <c r="O37" t="s">
        <v>431</v>
      </c>
      <c r="P37" t="s">
        <v>585</v>
      </c>
      <c r="S37" t="s">
        <v>586</v>
      </c>
      <c r="T37">
        <v>27638134</v>
      </c>
      <c r="U37" t="s">
        <v>587</v>
      </c>
      <c r="V37">
        <v>27638134</v>
      </c>
      <c r="W37" t="s">
        <v>121</v>
      </c>
      <c r="X37" t="s">
        <v>588</v>
      </c>
      <c r="Y37">
        <v>60711958</v>
      </c>
      <c r="AB37">
        <v>3</v>
      </c>
      <c r="AC37" t="s">
        <v>589</v>
      </c>
      <c r="AD37" s="1">
        <v>30666</v>
      </c>
      <c r="AE37" t="s">
        <v>590</v>
      </c>
      <c r="AF37" s="1">
        <v>31760</v>
      </c>
      <c r="AG37" t="s">
        <v>591</v>
      </c>
      <c r="AH37" s="1">
        <v>33998</v>
      </c>
      <c r="AM37" t="s">
        <v>592</v>
      </c>
      <c r="AN37" t="s">
        <v>593</v>
      </c>
      <c r="AO37" t="s">
        <v>317</v>
      </c>
      <c r="AP37" t="s">
        <v>549</v>
      </c>
      <c r="AQ37" t="s">
        <v>550</v>
      </c>
      <c r="AR37" t="s">
        <v>69</v>
      </c>
      <c r="AS37" t="s">
        <v>578</v>
      </c>
      <c r="AT37" t="s">
        <v>594</v>
      </c>
      <c r="AU37" t="s">
        <v>595</v>
      </c>
      <c r="AV37" t="s">
        <v>596</v>
      </c>
      <c r="AW37" t="s">
        <v>597</v>
      </c>
      <c r="AX37" t="s">
        <v>598</v>
      </c>
      <c r="AY37" t="s">
        <v>599</v>
      </c>
      <c r="AZ37" t="s">
        <v>196</v>
      </c>
      <c r="BA37" t="s">
        <v>98</v>
      </c>
      <c r="BB37" t="s">
        <v>600</v>
      </c>
      <c r="BC37" t="s">
        <v>115</v>
      </c>
      <c r="BF37" t="s">
        <v>367</v>
      </c>
    </row>
    <row r="38" spans="1:58" x14ac:dyDescent="0.25">
      <c r="A38" s="6">
        <v>99021597</v>
      </c>
      <c r="B38" t="s">
        <v>601</v>
      </c>
      <c r="C38" t="s">
        <v>602</v>
      </c>
      <c r="D38">
        <v>108940464</v>
      </c>
      <c r="E38" t="s">
        <v>52</v>
      </c>
      <c r="F38">
        <v>48</v>
      </c>
      <c r="H38" t="s">
        <v>53</v>
      </c>
      <c r="I38" t="s">
        <v>603</v>
      </c>
      <c r="J38">
        <v>86482364</v>
      </c>
      <c r="K38" t="s">
        <v>604</v>
      </c>
      <c r="O38" t="s">
        <v>605</v>
      </c>
      <c r="P38" t="s">
        <v>606</v>
      </c>
      <c r="R38" t="s">
        <v>164</v>
      </c>
      <c r="S38" t="s">
        <v>607</v>
      </c>
      <c r="U38" t="s">
        <v>608</v>
      </c>
      <c r="W38" t="s">
        <v>121</v>
      </c>
      <c r="X38" t="s">
        <v>609</v>
      </c>
      <c r="Y38">
        <v>87209512</v>
      </c>
      <c r="AB38">
        <v>3</v>
      </c>
      <c r="AC38" t="s">
        <v>610</v>
      </c>
      <c r="AE38" t="s">
        <v>611</v>
      </c>
      <c r="AG38" t="s">
        <v>612</v>
      </c>
      <c r="AM38" t="s">
        <v>613</v>
      </c>
      <c r="AN38" t="s">
        <v>614</v>
      </c>
      <c r="AO38" t="s">
        <v>67</v>
      </c>
      <c r="AP38" t="s">
        <v>229</v>
      </c>
      <c r="AQ38" t="s">
        <v>230</v>
      </c>
      <c r="AR38" t="s">
        <v>69</v>
      </c>
      <c r="AS38" t="s">
        <v>615</v>
      </c>
      <c r="AT38" t="s">
        <v>616</v>
      </c>
      <c r="AU38" t="s">
        <v>617</v>
      </c>
      <c r="AV38" t="s">
        <v>223</v>
      </c>
      <c r="AW38" t="s">
        <v>618</v>
      </c>
      <c r="AX38" t="s">
        <v>619</v>
      </c>
      <c r="AY38" t="s">
        <v>618</v>
      </c>
      <c r="AZ38" t="s">
        <v>76</v>
      </c>
      <c r="BA38" t="s">
        <v>77</v>
      </c>
      <c r="BC38" t="s">
        <v>115</v>
      </c>
      <c r="BD38" t="s">
        <v>78</v>
      </c>
      <c r="BF38" t="s">
        <v>79</v>
      </c>
    </row>
    <row r="39" spans="1:58" x14ac:dyDescent="0.25">
      <c r="A39" s="7">
        <v>99022391</v>
      </c>
      <c r="B39" t="s">
        <v>620</v>
      </c>
      <c r="C39" t="s">
        <v>621</v>
      </c>
      <c r="D39">
        <v>503030003</v>
      </c>
      <c r="E39" t="s">
        <v>52</v>
      </c>
      <c r="F39">
        <v>42</v>
      </c>
      <c r="H39" t="s">
        <v>53</v>
      </c>
      <c r="I39" t="s">
        <v>622</v>
      </c>
      <c r="J39">
        <v>83984034</v>
      </c>
      <c r="K39" t="s">
        <v>623</v>
      </c>
      <c r="O39" t="s">
        <v>624</v>
      </c>
      <c r="P39" t="s">
        <v>118</v>
      </c>
      <c r="Q39" t="s">
        <v>267</v>
      </c>
      <c r="R39" t="s">
        <v>252</v>
      </c>
      <c r="S39" t="s">
        <v>625</v>
      </c>
      <c r="T39" t="s">
        <v>626</v>
      </c>
      <c r="U39" t="s">
        <v>627</v>
      </c>
      <c r="V39">
        <v>62826927</v>
      </c>
      <c r="W39" t="s">
        <v>203</v>
      </c>
      <c r="X39" t="s">
        <v>628</v>
      </c>
      <c r="Y39">
        <v>64121043</v>
      </c>
      <c r="Z39" t="s">
        <v>629</v>
      </c>
      <c r="AA39">
        <v>87955261</v>
      </c>
      <c r="AB39">
        <v>2</v>
      </c>
      <c r="AC39" t="s">
        <v>630</v>
      </c>
      <c r="AD39" s="1">
        <v>39647</v>
      </c>
      <c r="AE39" t="s">
        <v>631</v>
      </c>
      <c r="AF39" s="1">
        <v>43364</v>
      </c>
      <c r="AM39" t="s">
        <v>632</v>
      </c>
      <c r="AN39" t="s">
        <v>633</v>
      </c>
      <c r="AO39" t="s">
        <v>67</v>
      </c>
      <c r="AP39" t="s">
        <v>229</v>
      </c>
      <c r="AQ39" t="s">
        <v>243</v>
      </c>
      <c r="AR39" t="s">
        <v>69</v>
      </c>
      <c r="AS39" t="s">
        <v>634</v>
      </c>
      <c r="AT39" t="s">
        <v>632</v>
      </c>
      <c r="AU39" t="s">
        <v>635</v>
      </c>
      <c r="AZ39" t="s">
        <v>76</v>
      </c>
      <c r="BA39" t="s">
        <v>98</v>
      </c>
      <c r="BB39" t="s">
        <v>636</v>
      </c>
      <c r="BC39" t="s">
        <v>115</v>
      </c>
      <c r="BF39" t="s">
        <v>79</v>
      </c>
    </row>
    <row r="40" spans="1:58" x14ac:dyDescent="0.25">
      <c r="A40" s="6">
        <v>99021671</v>
      </c>
      <c r="B40" t="s">
        <v>637</v>
      </c>
      <c r="C40" t="s">
        <v>638</v>
      </c>
      <c r="D40">
        <v>701580532</v>
      </c>
      <c r="E40" t="s">
        <v>52</v>
      </c>
      <c r="F40">
        <v>36</v>
      </c>
      <c r="H40" t="s">
        <v>53</v>
      </c>
      <c r="I40" t="s">
        <v>639</v>
      </c>
      <c r="J40">
        <v>83330700</v>
      </c>
      <c r="K40" t="s">
        <v>640</v>
      </c>
      <c r="O40" t="s">
        <v>515</v>
      </c>
      <c r="P40" t="s">
        <v>641</v>
      </c>
      <c r="S40" t="s">
        <v>642</v>
      </c>
      <c r="U40" t="s">
        <v>643</v>
      </c>
      <c r="W40" t="s">
        <v>203</v>
      </c>
      <c r="X40" t="s">
        <v>644</v>
      </c>
      <c r="AB40">
        <v>1</v>
      </c>
      <c r="AC40" t="s">
        <v>645</v>
      </c>
      <c r="AD40" s="1">
        <v>42892</v>
      </c>
      <c r="AM40" t="s">
        <v>646</v>
      </c>
      <c r="AN40" t="s">
        <v>647</v>
      </c>
      <c r="AO40" t="s">
        <v>67</v>
      </c>
      <c r="AP40" t="s">
        <v>229</v>
      </c>
      <c r="AQ40" t="s">
        <v>230</v>
      </c>
      <c r="AR40" t="s">
        <v>69</v>
      </c>
      <c r="AS40" t="s">
        <v>648</v>
      </c>
      <c r="AT40" t="s">
        <v>649</v>
      </c>
      <c r="AU40" t="s">
        <v>650</v>
      </c>
      <c r="AZ40" t="s">
        <v>651</v>
      </c>
      <c r="BA40" t="s">
        <v>77</v>
      </c>
      <c r="BF40" t="s">
        <v>79</v>
      </c>
    </row>
    <row r="41" spans="1:58" x14ac:dyDescent="0.25">
      <c r="A41" s="6">
        <v>99022436</v>
      </c>
      <c r="B41" t="s">
        <v>652</v>
      </c>
      <c r="C41" t="s">
        <v>653</v>
      </c>
      <c r="D41">
        <v>702210002</v>
      </c>
      <c r="E41" t="s">
        <v>52</v>
      </c>
      <c r="F41">
        <v>27</v>
      </c>
      <c r="H41" t="s">
        <v>53</v>
      </c>
      <c r="I41" t="s">
        <v>654</v>
      </c>
      <c r="J41">
        <v>72598004</v>
      </c>
      <c r="K41" t="s">
        <v>655</v>
      </c>
      <c r="O41" t="s">
        <v>468</v>
      </c>
      <c r="P41" t="s">
        <v>656</v>
      </c>
      <c r="Q41" t="s">
        <v>163</v>
      </c>
      <c r="R41" t="s">
        <v>164</v>
      </c>
      <c r="S41" t="s">
        <v>657</v>
      </c>
      <c r="U41" t="s">
        <v>658</v>
      </c>
      <c r="V41" t="s">
        <v>658</v>
      </c>
      <c r="W41" t="s">
        <v>88</v>
      </c>
      <c r="X41" t="s">
        <v>658</v>
      </c>
      <c r="Y41" t="s">
        <v>658</v>
      </c>
      <c r="Z41" t="s">
        <v>658</v>
      </c>
      <c r="AA41" t="s">
        <v>658</v>
      </c>
      <c r="AC41" t="s">
        <v>658</v>
      </c>
      <c r="AK41" t="s">
        <v>658</v>
      </c>
      <c r="AM41" t="s">
        <v>659</v>
      </c>
      <c r="AN41" t="s">
        <v>660</v>
      </c>
      <c r="AO41" t="s">
        <v>67</v>
      </c>
      <c r="AP41" t="s">
        <v>229</v>
      </c>
      <c r="AQ41" t="s">
        <v>230</v>
      </c>
      <c r="AR41" t="s">
        <v>69</v>
      </c>
      <c r="AS41" t="s">
        <v>661</v>
      </c>
      <c r="AT41" t="s">
        <v>662</v>
      </c>
      <c r="AU41" t="s">
        <v>663</v>
      </c>
      <c r="AZ41" t="s">
        <v>196</v>
      </c>
      <c r="BA41" t="s">
        <v>98</v>
      </c>
      <c r="BD41" t="s">
        <v>78</v>
      </c>
      <c r="BF41" t="s">
        <v>79</v>
      </c>
    </row>
    <row r="42" spans="1:58" x14ac:dyDescent="0.25">
      <c r="A42" s="6">
        <v>99021499</v>
      </c>
      <c r="B42" t="s">
        <v>664</v>
      </c>
      <c r="C42" t="s">
        <v>665</v>
      </c>
      <c r="D42">
        <v>701270065</v>
      </c>
      <c r="E42" t="s">
        <v>52</v>
      </c>
      <c r="F42">
        <v>42</v>
      </c>
      <c r="H42" t="s">
        <v>53</v>
      </c>
      <c r="I42" t="s">
        <v>666</v>
      </c>
      <c r="J42">
        <v>62961121</v>
      </c>
      <c r="K42" t="s">
        <v>667</v>
      </c>
      <c r="O42" t="s">
        <v>668</v>
      </c>
      <c r="P42" t="s">
        <v>57</v>
      </c>
      <c r="Q42" t="s">
        <v>267</v>
      </c>
      <c r="R42" t="s">
        <v>164</v>
      </c>
      <c r="S42" t="s">
        <v>669</v>
      </c>
      <c r="U42" t="s">
        <v>670</v>
      </c>
      <c r="W42" t="s">
        <v>88</v>
      </c>
      <c r="Z42" t="s">
        <v>671</v>
      </c>
      <c r="AB42">
        <v>1</v>
      </c>
      <c r="AC42" t="s">
        <v>672</v>
      </c>
      <c r="AD42" s="1">
        <v>36314</v>
      </c>
      <c r="AE42" t="s">
        <v>311</v>
      </c>
      <c r="AM42" t="s">
        <v>673</v>
      </c>
      <c r="AN42" t="s">
        <v>674</v>
      </c>
      <c r="AO42" t="s">
        <v>67</v>
      </c>
      <c r="AP42" t="s">
        <v>229</v>
      </c>
      <c r="AQ42" t="s">
        <v>230</v>
      </c>
      <c r="AR42" t="s">
        <v>69</v>
      </c>
      <c r="AS42" t="s">
        <v>675</v>
      </c>
      <c r="AT42" t="s">
        <v>676</v>
      </c>
      <c r="AU42" t="s">
        <v>677</v>
      </c>
      <c r="AV42" t="s">
        <v>678</v>
      </c>
      <c r="AW42" t="s">
        <v>679</v>
      </c>
      <c r="AX42" t="s">
        <v>311</v>
      </c>
      <c r="AY42" t="s">
        <v>311</v>
      </c>
      <c r="AZ42" t="s">
        <v>76</v>
      </c>
      <c r="BA42" t="s">
        <v>98</v>
      </c>
      <c r="BD42" t="s">
        <v>78</v>
      </c>
      <c r="BF42" t="s">
        <v>79</v>
      </c>
    </row>
    <row r="43" spans="1:58" x14ac:dyDescent="0.25">
      <c r="A43" s="6">
        <v>99022246</v>
      </c>
      <c r="B43" t="s">
        <v>680</v>
      </c>
      <c r="C43" t="s">
        <v>681</v>
      </c>
      <c r="D43">
        <v>702170040</v>
      </c>
      <c r="E43" t="s">
        <v>52</v>
      </c>
      <c r="F43">
        <v>27</v>
      </c>
      <c r="H43" t="s">
        <v>53</v>
      </c>
      <c r="I43" t="s">
        <v>682</v>
      </c>
      <c r="J43">
        <v>71077285</v>
      </c>
      <c r="K43" t="s">
        <v>683</v>
      </c>
      <c r="O43" t="s">
        <v>684</v>
      </c>
      <c r="P43" t="s">
        <v>558</v>
      </c>
      <c r="Q43" t="s">
        <v>267</v>
      </c>
      <c r="R43" t="s">
        <v>252</v>
      </c>
      <c r="S43" t="s">
        <v>685</v>
      </c>
      <c r="T43">
        <v>27638349</v>
      </c>
      <c r="U43" t="s">
        <v>686</v>
      </c>
      <c r="V43">
        <v>27638349</v>
      </c>
      <c r="W43" t="s">
        <v>88</v>
      </c>
      <c r="AM43" t="s">
        <v>687</v>
      </c>
      <c r="AN43" t="s">
        <v>688</v>
      </c>
      <c r="AO43" t="s">
        <v>317</v>
      </c>
      <c r="AP43" t="s">
        <v>318</v>
      </c>
      <c r="AQ43" t="s">
        <v>689</v>
      </c>
      <c r="AR43" t="s">
        <v>69</v>
      </c>
      <c r="AS43" t="s">
        <v>690</v>
      </c>
      <c r="AT43" t="s">
        <v>691</v>
      </c>
      <c r="AU43" t="s">
        <v>692</v>
      </c>
      <c r="AV43" t="s">
        <v>693</v>
      </c>
      <c r="AW43" t="s">
        <v>694</v>
      </c>
      <c r="AZ43" t="s">
        <v>327</v>
      </c>
      <c r="BA43" t="s">
        <v>77</v>
      </c>
      <c r="BC43" t="s">
        <v>115</v>
      </c>
      <c r="BD43" t="s">
        <v>78</v>
      </c>
      <c r="BF43" t="s">
        <v>367</v>
      </c>
    </row>
    <row r="44" spans="1:58" x14ac:dyDescent="0.25">
      <c r="A44" s="6">
        <v>99022253</v>
      </c>
      <c r="B44" t="s">
        <v>695</v>
      </c>
      <c r="C44" t="s">
        <v>696</v>
      </c>
      <c r="D44">
        <v>701220056</v>
      </c>
      <c r="E44" t="s">
        <v>52</v>
      </c>
      <c r="F44">
        <v>43</v>
      </c>
      <c r="H44" t="s">
        <v>53</v>
      </c>
      <c r="I44" t="s">
        <v>697</v>
      </c>
      <c r="J44">
        <v>85989901</v>
      </c>
      <c r="K44" t="s">
        <v>698</v>
      </c>
      <c r="O44" t="s">
        <v>699</v>
      </c>
      <c r="P44" t="s">
        <v>700</v>
      </c>
      <c r="S44" t="s">
        <v>701</v>
      </c>
      <c r="T44">
        <v>60205418</v>
      </c>
      <c r="U44" t="s">
        <v>702</v>
      </c>
      <c r="V44">
        <v>88642465</v>
      </c>
      <c r="W44" t="s">
        <v>121</v>
      </c>
      <c r="X44" t="s">
        <v>703</v>
      </c>
      <c r="Y44">
        <v>60620913</v>
      </c>
      <c r="Z44" t="s">
        <v>704</v>
      </c>
      <c r="AA44">
        <v>60202164</v>
      </c>
      <c r="AB44">
        <v>2</v>
      </c>
      <c r="AC44" t="s">
        <v>705</v>
      </c>
      <c r="AD44" s="1">
        <v>36702</v>
      </c>
      <c r="AE44" t="s">
        <v>706</v>
      </c>
      <c r="AF44" s="1">
        <v>39813</v>
      </c>
      <c r="AM44" t="s">
        <v>707</v>
      </c>
      <c r="AN44" t="s">
        <v>708</v>
      </c>
      <c r="AO44" t="s">
        <v>317</v>
      </c>
      <c r="AP44" t="s">
        <v>318</v>
      </c>
      <c r="AQ44" t="s">
        <v>689</v>
      </c>
      <c r="AR44" t="s">
        <v>69</v>
      </c>
      <c r="AS44" t="s">
        <v>709</v>
      </c>
      <c r="AT44" t="s">
        <v>710</v>
      </c>
      <c r="AU44" t="s">
        <v>711</v>
      </c>
      <c r="AV44" t="s">
        <v>712</v>
      </c>
      <c r="AW44" t="s">
        <v>711</v>
      </c>
      <c r="AX44" t="s">
        <v>713</v>
      </c>
      <c r="AY44" t="s">
        <v>714</v>
      </c>
      <c r="AZ44" t="s">
        <v>327</v>
      </c>
      <c r="BA44" t="s">
        <v>77</v>
      </c>
      <c r="BC44" t="s">
        <v>115</v>
      </c>
      <c r="BD44" t="s">
        <v>78</v>
      </c>
      <c r="BF44" t="s">
        <v>367</v>
      </c>
    </row>
    <row r="45" spans="1:58" x14ac:dyDescent="0.25">
      <c r="A45" s="6">
        <v>99021431</v>
      </c>
      <c r="B45" t="s">
        <v>715</v>
      </c>
      <c r="C45" t="s">
        <v>1268</v>
      </c>
      <c r="D45">
        <v>502680346</v>
      </c>
      <c r="E45" t="s">
        <v>52</v>
      </c>
      <c r="F45">
        <v>49</v>
      </c>
      <c r="H45" t="s">
        <v>53</v>
      </c>
      <c r="I45" t="s">
        <v>716</v>
      </c>
      <c r="J45">
        <v>61537998</v>
      </c>
      <c r="K45" t="s">
        <v>717</v>
      </c>
      <c r="O45" t="s">
        <v>482</v>
      </c>
      <c r="P45" t="s">
        <v>718</v>
      </c>
      <c r="R45" t="s">
        <v>164</v>
      </c>
      <c r="S45" t="s">
        <v>719</v>
      </c>
      <c r="U45" t="s">
        <v>720</v>
      </c>
      <c r="W45" t="s">
        <v>121</v>
      </c>
      <c r="X45" t="s">
        <v>721</v>
      </c>
      <c r="AB45">
        <v>2</v>
      </c>
      <c r="AC45" t="s">
        <v>722</v>
      </c>
      <c r="AD45" s="1">
        <v>43999</v>
      </c>
      <c r="AE45" t="s">
        <v>723</v>
      </c>
      <c r="AF45" s="1">
        <v>44074</v>
      </c>
      <c r="AO45" t="s">
        <v>317</v>
      </c>
      <c r="AP45" t="s">
        <v>318</v>
      </c>
      <c r="AQ45" t="s">
        <v>689</v>
      </c>
      <c r="AR45" t="s">
        <v>69</v>
      </c>
      <c r="AS45" t="s">
        <v>724</v>
      </c>
      <c r="AT45" t="s">
        <v>725</v>
      </c>
      <c r="AU45" t="s">
        <v>726</v>
      </c>
      <c r="AZ45" t="s">
        <v>727</v>
      </c>
      <c r="BA45" t="s">
        <v>98</v>
      </c>
      <c r="BD45" t="s">
        <v>78</v>
      </c>
      <c r="BF45" t="s">
        <v>79</v>
      </c>
    </row>
    <row r="46" spans="1:58" x14ac:dyDescent="0.25">
      <c r="A46" s="6">
        <v>99021077</v>
      </c>
      <c r="B46" t="s">
        <v>728</v>
      </c>
      <c r="C46" t="s">
        <v>729</v>
      </c>
      <c r="D46">
        <v>602450819</v>
      </c>
      <c r="E46" t="s">
        <v>52</v>
      </c>
      <c r="F46">
        <v>48</v>
      </c>
      <c r="H46" t="s">
        <v>53</v>
      </c>
      <c r="J46">
        <v>60217911</v>
      </c>
      <c r="K46" t="s">
        <v>730</v>
      </c>
      <c r="O46" t="s">
        <v>515</v>
      </c>
      <c r="Q46" t="s">
        <v>311</v>
      </c>
      <c r="S46" t="s">
        <v>731</v>
      </c>
      <c r="U46" t="s">
        <v>732</v>
      </c>
      <c r="W46" t="s">
        <v>121</v>
      </c>
      <c r="X46" t="s">
        <v>733</v>
      </c>
      <c r="Y46">
        <v>86841744</v>
      </c>
      <c r="Z46" t="s">
        <v>734</v>
      </c>
      <c r="AB46">
        <v>3</v>
      </c>
      <c r="AC46" t="s">
        <v>735</v>
      </c>
      <c r="AD46" s="1">
        <v>33600</v>
      </c>
      <c r="AE46" t="s">
        <v>736</v>
      </c>
      <c r="AF46" s="1">
        <v>34354</v>
      </c>
      <c r="AG46" t="s">
        <v>737</v>
      </c>
      <c r="AH46" s="1">
        <v>35811</v>
      </c>
      <c r="AM46" t="s">
        <v>738</v>
      </c>
      <c r="AN46" t="s">
        <v>739</v>
      </c>
      <c r="AO46" t="s">
        <v>67</v>
      </c>
      <c r="AP46" t="s">
        <v>67</v>
      </c>
      <c r="AQ46" t="s">
        <v>71</v>
      </c>
      <c r="AR46" t="s">
        <v>69</v>
      </c>
      <c r="AS46" t="s">
        <v>740</v>
      </c>
      <c r="AT46" t="s">
        <v>741</v>
      </c>
      <c r="AU46" t="s">
        <v>742</v>
      </c>
      <c r="AZ46" t="s">
        <v>727</v>
      </c>
      <c r="BA46" t="s">
        <v>98</v>
      </c>
      <c r="BB46" t="s">
        <v>743</v>
      </c>
      <c r="BD46" t="s">
        <v>78</v>
      </c>
      <c r="BF46" t="s">
        <v>79</v>
      </c>
    </row>
    <row r="47" spans="1:58" x14ac:dyDescent="0.25">
      <c r="A47" s="6">
        <v>99022366</v>
      </c>
      <c r="B47" t="s">
        <v>744</v>
      </c>
      <c r="C47" t="s">
        <v>745</v>
      </c>
      <c r="D47">
        <v>702400086</v>
      </c>
      <c r="E47" t="s">
        <v>52</v>
      </c>
      <c r="F47">
        <v>24</v>
      </c>
      <c r="H47" t="s">
        <v>53</v>
      </c>
      <c r="I47" t="s">
        <v>746</v>
      </c>
      <c r="J47">
        <v>61182192</v>
      </c>
      <c r="K47" t="s">
        <v>747</v>
      </c>
      <c r="O47" t="s">
        <v>515</v>
      </c>
      <c r="P47" t="s">
        <v>748</v>
      </c>
      <c r="Q47" t="s">
        <v>163</v>
      </c>
      <c r="R47" t="s">
        <v>164</v>
      </c>
      <c r="S47" t="s">
        <v>749</v>
      </c>
      <c r="T47" t="s">
        <v>750</v>
      </c>
      <c r="U47" t="s">
        <v>751</v>
      </c>
      <c r="V47">
        <v>60477924</v>
      </c>
      <c r="W47" t="s">
        <v>203</v>
      </c>
      <c r="X47" t="s">
        <v>752</v>
      </c>
      <c r="Y47">
        <v>86955138</v>
      </c>
      <c r="AB47">
        <v>1</v>
      </c>
      <c r="AC47" t="s">
        <v>753</v>
      </c>
      <c r="AD47" s="1">
        <v>43634</v>
      </c>
      <c r="AM47" t="s">
        <v>754</v>
      </c>
      <c r="AN47" t="s">
        <v>755</v>
      </c>
      <c r="AO47" t="s">
        <v>756</v>
      </c>
      <c r="AP47" t="s">
        <v>318</v>
      </c>
      <c r="AQ47" t="s">
        <v>757</v>
      </c>
      <c r="AR47" t="s">
        <v>69</v>
      </c>
      <c r="AS47" t="s">
        <v>758</v>
      </c>
      <c r="AZ47" t="s">
        <v>759</v>
      </c>
      <c r="BA47" t="s">
        <v>98</v>
      </c>
      <c r="BB47" t="s">
        <v>760</v>
      </c>
      <c r="BD47" t="s">
        <v>78</v>
      </c>
      <c r="BF47" t="s">
        <v>79</v>
      </c>
    </row>
    <row r="48" spans="1:58" x14ac:dyDescent="0.25">
      <c r="A48" s="6">
        <v>99022384</v>
      </c>
      <c r="B48" t="s">
        <v>761</v>
      </c>
      <c r="C48" t="s">
        <v>762</v>
      </c>
      <c r="D48">
        <v>702200263</v>
      </c>
      <c r="E48" t="s">
        <v>52</v>
      </c>
      <c r="F48">
        <v>27</v>
      </c>
      <c r="H48" t="s">
        <v>53</v>
      </c>
      <c r="I48" t="s">
        <v>763</v>
      </c>
      <c r="J48">
        <v>61952095</v>
      </c>
      <c r="K48" t="s">
        <v>764</v>
      </c>
      <c r="O48" t="s">
        <v>515</v>
      </c>
      <c r="P48" t="s">
        <v>585</v>
      </c>
      <c r="Q48" t="s">
        <v>765</v>
      </c>
      <c r="S48" t="s">
        <v>766</v>
      </c>
      <c r="T48">
        <v>87337215</v>
      </c>
      <c r="U48" t="s">
        <v>767</v>
      </c>
      <c r="W48" t="s">
        <v>203</v>
      </c>
      <c r="X48" t="s">
        <v>768</v>
      </c>
      <c r="AC48" t="s">
        <v>769</v>
      </c>
      <c r="AM48" t="s">
        <v>754</v>
      </c>
      <c r="AN48" t="s">
        <v>770</v>
      </c>
      <c r="AO48" t="s">
        <v>317</v>
      </c>
      <c r="AP48" t="s">
        <v>318</v>
      </c>
      <c r="AQ48" t="s">
        <v>757</v>
      </c>
      <c r="AR48" t="s">
        <v>69</v>
      </c>
      <c r="AS48" t="s">
        <v>771</v>
      </c>
      <c r="AZ48" t="s">
        <v>727</v>
      </c>
      <c r="BA48" t="s">
        <v>98</v>
      </c>
      <c r="BD48" t="s">
        <v>78</v>
      </c>
      <c r="BF48" t="s">
        <v>79</v>
      </c>
    </row>
    <row r="49" spans="1:58" x14ac:dyDescent="0.25">
      <c r="A49" s="6">
        <v>99022379</v>
      </c>
      <c r="B49" t="s">
        <v>772</v>
      </c>
      <c r="C49" t="s">
        <v>773</v>
      </c>
      <c r="D49">
        <v>116120125</v>
      </c>
      <c r="E49" t="s">
        <v>52</v>
      </c>
      <c r="F49">
        <v>25</v>
      </c>
      <c r="H49" t="s">
        <v>53</v>
      </c>
      <c r="I49" t="s">
        <v>774</v>
      </c>
      <c r="J49">
        <v>84417620</v>
      </c>
      <c r="K49" t="s">
        <v>775</v>
      </c>
      <c r="O49" t="s">
        <v>515</v>
      </c>
      <c r="P49" t="s">
        <v>776</v>
      </c>
      <c r="Q49" t="s">
        <v>777</v>
      </c>
      <c r="S49" t="s">
        <v>778</v>
      </c>
      <c r="T49">
        <v>84132753</v>
      </c>
      <c r="U49" t="s">
        <v>779</v>
      </c>
      <c r="V49">
        <v>60200233</v>
      </c>
      <c r="W49" t="s">
        <v>121</v>
      </c>
      <c r="X49" t="s">
        <v>780</v>
      </c>
      <c r="Y49">
        <v>87021028</v>
      </c>
      <c r="Z49" t="s">
        <v>781</v>
      </c>
      <c r="AA49">
        <v>27637132</v>
      </c>
      <c r="AB49">
        <v>1</v>
      </c>
      <c r="AC49" t="s">
        <v>782</v>
      </c>
      <c r="AD49" s="1">
        <v>44014</v>
      </c>
      <c r="AM49" t="s">
        <v>783</v>
      </c>
      <c r="AN49" t="s">
        <v>784</v>
      </c>
      <c r="AO49" t="s">
        <v>317</v>
      </c>
      <c r="AP49" t="s">
        <v>318</v>
      </c>
      <c r="AQ49" t="s">
        <v>757</v>
      </c>
      <c r="AR49" t="s">
        <v>69</v>
      </c>
      <c r="AS49" t="s">
        <v>758</v>
      </c>
      <c r="AT49" t="s">
        <v>785</v>
      </c>
      <c r="AU49" t="s">
        <v>784</v>
      </c>
      <c r="AV49" t="s">
        <v>777</v>
      </c>
      <c r="AW49" t="s">
        <v>777</v>
      </c>
      <c r="AX49" t="s">
        <v>311</v>
      </c>
      <c r="AZ49" t="s">
        <v>786</v>
      </c>
      <c r="BA49" t="s">
        <v>77</v>
      </c>
      <c r="BB49" t="s">
        <v>787</v>
      </c>
      <c r="BD49" t="s">
        <v>78</v>
      </c>
      <c r="BF49" t="s">
        <v>79</v>
      </c>
    </row>
    <row r="50" spans="1:58" x14ac:dyDescent="0.25">
      <c r="A50" s="6">
        <v>99022400</v>
      </c>
      <c r="B50" t="s">
        <v>788</v>
      </c>
      <c r="C50" t="s">
        <v>789</v>
      </c>
      <c r="D50">
        <v>702460798</v>
      </c>
      <c r="E50" t="s">
        <v>52</v>
      </c>
      <c r="F50">
        <v>24</v>
      </c>
      <c r="H50" t="s">
        <v>53</v>
      </c>
      <c r="I50" t="s">
        <v>790</v>
      </c>
      <c r="J50">
        <v>63644834</v>
      </c>
      <c r="K50" t="s">
        <v>791</v>
      </c>
      <c r="O50" t="s">
        <v>468</v>
      </c>
      <c r="P50" t="s">
        <v>57</v>
      </c>
      <c r="Q50" t="s">
        <v>163</v>
      </c>
      <c r="R50" t="s">
        <v>164</v>
      </c>
      <c r="S50" t="s">
        <v>792</v>
      </c>
      <c r="U50" t="s">
        <v>793</v>
      </c>
      <c r="W50" t="s">
        <v>88</v>
      </c>
      <c r="AM50" t="s">
        <v>794</v>
      </c>
      <c r="AN50" t="s">
        <v>795</v>
      </c>
      <c r="AO50" t="s">
        <v>67</v>
      </c>
      <c r="AP50" t="s">
        <v>229</v>
      </c>
      <c r="AQ50" t="s">
        <v>230</v>
      </c>
      <c r="AR50" t="s">
        <v>69</v>
      </c>
      <c r="AS50" t="s">
        <v>796</v>
      </c>
      <c r="AT50" t="s">
        <v>156</v>
      </c>
      <c r="AU50" t="s">
        <v>72</v>
      </c>
      <c r="AV50" t="s">
        <v>797</v>
      </c>
      <c r="AW50" t="s">
        <v>72</v>
      </c>
      <c r="AX50" t="s">
        <v>798</v>
      </c>
      <c r="AY50" t="s">
        <v>799</v>
      </c>
      <c r="AZ50" t="s">
        <v>397</v>
      </c>
      <c r="BA50" t="s">
        <v>98</v>
      </c>
      <c r="BC50" t="s">
        <v>115</v>
      </c>
      <c r="BF50" t="s">
        <v>79</v>
      </c>
    </row>
    <row r="51" spans="1:58" x14ac:dyDescent="0.25">
      <c r="A51" s="6">
        <v>99022001</v>
      </c>
      <c r="B51" t="s">
        <v>800</v>
      </c>
      <c r="C51" t="s">
        <v>801</v>
      </c>
      <c r="D51">
        <v>701840896</v>
      </c>
      <c r="E51" t="s">
        <v>52</v>
      </c>
      <c r="F51">
        <v>32</v>
      </c>
      <c r="H51" t="s">
        <v>53</v>
      </c>
      <c r="I51" t="s">
        <v>802</v>
      </c>
      <c r="J51">
        <v>60012513</v>
      </c>
      <c r="K51" t="s">
        <v>803</v>
      </c>
      <c r="O51" t="s">
        <v>442</v>
      </c>
      <c r="P51" t="s">
        <v>118</v>
      </c>
      <c r="Q51" t="s">
        <v>267</v>
      </c>
      <c r="R51" t="s">
        <v>164</v>
      </c>
      <c r="S51" t="s">
        <v>804</v>
      </c>
      <c r="T51">
        <v>89247668</v>
      </c>
      <c r="U51" t="s">
        <v>805</v>
      </c>
      <c r="V51">
        <v>85916794</v>
      </c>
      <c r="W51" t="s">
        <v>121</v>
      </c>
      <c r="X51" t="s">
        <v>806</v>
      </c>
      <c r="Y51">
        <v>60607871</v>
      </c>
      <c r="Z51" t="s">
        <v>804</v>
      </c>
      <c r="AA51">
        <v>89247668</v>
      </c>
      <c r="AB51">
        <v>1</v>
      </c>
      <c r="AC51" t="s">
        <v>807</v>
      </c>
      <c r="AD51" s="1">
        <v>41394</v>
      </c>
      <c r="AM51" t="s">
        <v>808</v>
      </c>
      <c r="AN51" t="s">
        <v>809</v>
      </c>
      <c r="AO51" t="s">
        <v>67</v>
      </c>
      <c r="AP51" t="s">
        <v>229</v>
      </c>
      <c r="AQ51" t="s">
        <v>243</v>
      </c>
      <c r="AR51" t="s">
        <v>69</v>
      </c>
      <c r="AS51" t="s">
        <v>810</v>
      </c>
      <c r="AZ51" t="s">
        <v>727</v>
      </c>
      <c r="BA51" t="s">
        <v>98</v>
      </c>
      <c r="BB51" t="s">
        <v>811</v>
      </c>
      <c r="BC51" t="s">
        <v>115</v>
      </c>
      <c r="BD51" t="s">
        <v>78</v>
      </c>
      <c r="BF51" t="s">
        <v>367</v>
      </c>
    </row>
    <row r="52" spans="1:58" x14ac:dyDescent="0.25">
      <c r="A52" s="6">
        <v>99022043</v>
      </c>
      <c r="B52" t="s">
        <v>812</v>
      </c>
      <c r="C52" t="s">
        <v>813</v>
      </c>
      <c r="D52">
        <v>401920539</v>
      </c>
      <c r="E52" t="s">
        <v>52</v>
      </c>
      <c r="F52">
        <v>34</v>
      </c>
      <c r="H52" t="s">
        <v>53</v>
      </c>
      <c r="J52">
        <v>88276851</v>
      </c>
      <c r="K52" t="s">
        <v>814</v>
      </c>
      <c r="O52" t="s">
        <v>526</v>
      </c>
      <c r="P52" t="s">
        <v>815</v>
      </c>
      <c r="S52" t="s">
        <v>816</v>
      </c>
      <c r="T52">
        <v>63518044</v>
      </c>
      <c r="U52" t="s">
        <v>817</v>
      </c>
      <c r="W52" t="s">
        <v>203</v>
      </c>
      <c r="X52" t="s">
        <v>818</v>
      </c>
      <c r="Y52">
        <v>83180161</v>
      </c>
      <c r="Z52" t="s">
        <v>819</v>
      </c>
      <c r="AA52">
        <v>86159182</v>
      </c>
      <c r="AB52">
        <v>3</v>
      </c>
      <c r="AC52" t="s">
        <v>820</v>
      </c>
      <c r="AE52" t="s">
        <v>821</v>
      </c>
      <c r="AG52" t="s">
        <v>822</v>
      </c>
      <c r="AH52" s="1">
        <v>42624</v>
      </c>
      <c r="AM52" t="s">
        <v>286</v>
      </c>
      <c r="AN52" t="s">
        <v>823</v>
      </c>
      <c r="AO52" t="s">
        <v>67</v>
      </c>
      <c r="AP52" t="s">
        <v>67</v>
      </c>
      <c r="AQ52" t="s">
        <v>68</v>
      </c>
      <c r="AR52" t="s">
        <v>69</v>
      </c>
      <c r="AS52" t="s">
        <v>92</v>
      </c>
      <c r="AT52" t="s">
        <v>824</v>
      </c>
      <c r="AU52" t="s">
        <v>825</v>
      </c>
      <c r="AV52" t="s">
        <v>826</v>
      </c>
      <c r="AW52" t="s">
        <v>827</v>
      </c>
      <c r="AX52" t="s">
        <v>828</v>
      </c>
      <c r="AY52" t="s">
        <v>829</v>
      </c>
      <c r="AZ52" t="s">
        <v>76</v>
      </c>
      <c r="BA52" t="s">
        <v>98</v>
      </c>
      <c r="BD52" t="s">
        <v>78</v>
      </c>
      <c r="BF52" t="s">
        <v>79</v>
      </c>
    </row>
    <row r="53" spans="1:58" x14ac:dyDescent="0.25">
      <c r="A53" s="7">
        <v>9902367</v>
      </c>
      <c r="B53" t="s">
        <v>830</v>
      </c>
      <c r="C53" t="s">
        <v>831</v>
      </c>
      <c r="D53">
        <v>701390123</v>
      </c>
      <c r="E53" t="s">
        <v>52</v>
      </c>
      <c r="F53">
        <v>39</v>
      </c>
      <c r="H53" t="s">
        <v>53</v>
      </c>
      <c r="I53" t="s">
        <v>832</v>
      </c>
      <c r="J53">
        <v>64344207</v>
      </c>
      <c r="K53" t="s">
        <v>833</v>
      </c>
      <c r="O53" t="s">
        <v>482</v>
      </c>
      <c r="P53" t="s">
        <v>834</v>
      </c>
      <c r="S53" t="s">
        <v>835</v>
      </c>
      <c r="W53" t="s">
        <v>203</v>
      </c>
      <c r="X53" t="s">
        <v>836</v>
      </c>
      <c r="AB53">
        <v>2</v>
      </c>
      <c r="AC53" t="s">
        <v>837</v>
      </c>
      <c r="AE53" t="s">
        <v>838</v>
      </c>
      <c r="AO53" t="s">
        <v>317</v>
      </c>
      <c r="AP53" t="s">
        <v>318</v>
      </c>
      <c r="AQ53" t="s">
        <v>689</v>
      </c>
      <c r="AR53" t="s">
        <v>69</v>
      </c>
      <c r="AS53" t="s">
        <v>690</v>
      </c>
      <c r="AT53" t="s">
        <v>839</v>
      </c>
      <c r="AU53" t="s">
        <v>840</v>
      </c>
      <c r="AV53" t="s">
        <v>841</v>
      </c>
      <c r="AW53" t="s">
        <v>842</v>
      </c>
      <c r="AZ53" t="s">
        <v>843</v>
      </c>
      <c r="BA53" t="s">
        <v>98</v>
      </c>
      <c r="BF53" t="s">
        <v>79</v>
      </c>
    </row>
    <row r="54" spans="1:58" x14ac:dyDescent="0.25">
      <c r="A54" s="7">
        <v>99022431</v>
      </c>
      <c r="B54" t="s">
        <v>844</v>
      </c>
      <c r="C54" t="s">
        <v>845</v>
      </c>
      <c r="D54">
        <v>702160624</v>
      </c>
      <c r="E54" t="s">
        <v>52</v>
      </c>
      <c r="F54">
        <v>28</v>
      </c>
      <c r="H54" t="s">
        <v>53</v>
      </c>
      <c r="I54" t="s">
        <v>846</v>
      </c>
      <c r="J54">
        <v>87034119</v>
      </c>
      <c r="K54" t="s">
        <v>847</v>
      </c>
      <c r="O54" t="s">
        <v>482</v>
      </c>
      <c r="P54" t="s">
        <v>848</v>
      </c>
      <c r="R54" t="s">
        <v>164</v>
      </c>
      <c r="S54" t="s">
        <v>849</v>
      </c>
      <c r="T54">
        <v>84140056</v>
      </c>
      <c r="U54" t="s">
        <v>850</v>
      </c>
      <c r="V54">
        <v>84093269</v>
      </c>
      <c r="W54" t="s">
        <v>121</v>
      </c>
      <c r="X54" t="s">
        <v>851</v>
      </c>
      <c r="Y54">
        <v>89444641</v>
      </c>
      <c r="Z54" t="s">
        <v>852</v>
      </c>
      <c r="AA54">
        <v>27165101</v>
      </c>
      <c r="AB54">
        <v>2</v>
      </c>
      <c r="AC54" t="s">
        <v>853</v>
      </c>
      <c r="AD54" s="1">
        <v>42817</v>
      </c>
      <c r="AE54" t="s">
        <v>854</v>
      </c>
      <c r="AF54" s="1">
        <v>42817</v>
      </c>
      <c r="AM54" t="s">
        <v>855</v>
      </c>
      <c r="AN54" t="s">
        <v>856</v>
      </c>
      <c r="AO54" t="s">
        <v>317</v>
      </c>
      <c r="AP54" t="s">
        <v>318</v>
      </c>
      <c r="AQ54" t="s">
        <v>319</v>
      </c>
      <c r="AR54" t="s">
        <v>69</v>
      </c>
      <c r="AS54" t="s">
        <v>758</v>
      </c>
      <c r="AT54" t="s">
        <v>857</v>
      </c>
      <c r="AU54" t="s">
        <v>599</v>
      </c>
      <c r="AV54" t="s">
        <v>855</v>
      </c>
      <c r="AW54" t="s">
        <v>858</v>
      </c>
      <c r="AZ54" t="s">
        <v>859</v>
      </c>
      <c r="BA54" t="s">
        <v>98</v>
      </c>
      <c r="BB54" t="s">
        <v>860</v>
      </c>
      <c r="BC54" t="s">
        <v>115</v>
      </c>
      <c r="BF54" t="s">
        <v>79</v>
      </c>
    </row>
    <row r="55" spans="1:58" x14ac:dyDescent="0.25">
      <c r="A55" s="6">
        <v>30204</v>
      </c>
      <c r="B55" t="s">
        <v>1264</v>
      </c>
      <c r="C55" t="s">
        <v>1271</v>
      </c>
      <c r="D55">
        <v>702880354</v>
      </c>
      <c r="E55" t="s">
        <v>52</v>
      </c>
      <c r="F55">
        <v>19</v>
      </c>
      <c r="H55" t="s">
        <v>53</v>
      </c>
      <c r="I55" t="s">
        <v>861</v>
      </c>
      <c r="J55">
        <v>60862341</v>
      </c>
      <c r="K55" t="s">
        <v>862</v>
      </c>
      <c r="O55" t="s">
        <v>515</v>
      </c>
      <c r="P55" t="s">
        <v>863</v>
      </c>
      <c r="Q55" t="s">
        <v>864</v>
      </c>
      <c r="R55" t="s">
        <v>164</v>
      </c>
      <c r="S55" t="s">
        <v>865</v>
      </c>
      <c r="T55" t="s">
        <v>866</v>
      </c>
      <c r="U55" t="s">
        <v>867</v>
      </c>
      <c r="W55" t="s">
        <v>203</v>
      </c>
      <c r="Z55" t="s">
        <v>868</v>
      </c>
      <c r="AA55">
        <v>85308206</v>
      </c>
      <c r="AM55" t="s">
        <v>869</v>
      </c>
      <c r="AN55" t="s">
        <v>870</v>
      </c>
      <c r="AO55" t="s">
        <v>317</v>
      </c>
      <c r="AP55" t="s">
        <v>318</v>
      </c>
      <c r="AQ55" t="s">
        <v>319</v>
      </c>
      <c r="AR55" t="s">
        <v>69</v>
      </c>
      <c r="AS55" t="s">
        <v>871</v>
      </c>
      <c r="AT55" t="s">
        <v>872</v>
      </c>
      <c r="AU55" t="s">
        <v>873</v>
      </c>
      <c r="BA55" t="s">
        <v>98</v>
      </c>
      <c r="BB55" t="s">
        <v>874</v>
      </c>
      <c r="BC55" t="s">
        <v>115</v>
      </c>
      <c r="BF55" t="s">
        <v>79</v>
      </c>
    </row>
    <row r="56" spans="1:58" x14ac:dyDescent="0.25">
      <c r="A56" s="6">
        <v>99021404</v>
      </c>
      <c r="B56" t="s">
        <v>1263</v>
      </c>
      <c r="C56" t="s">
        <v>1270</v>
      </c>
      <c r="D56">
        <v>303010445</v>
      </c>
      <c r="E56" t="s">
        <v>52</v>
      </c>
      <c r="F56">
        <v>51</v>
      </c>
      <c r="H56" t="s">
        <v>53</v>
      </c>
      <c r="I56" t="s">
        <v>875</v>
      </c>
      <c r="J56">
        <v>84996579</v>
      </c>
      <c r="K56" t="s">
        <v>876</v>
      </c>
      <c r="O56" t="s">
        <v>482</v>
      </c>
      <c r="P56" t="s">
        <v>877</v>
      </c>
      <c r="S56" t="s">
        <v>878</v>
      </c>
      <c r="T56">
        <v>22273763</v>
      </c>
      <c r="U56" t="s">
        <v>879</v>
      </c>
      <c r="W56" t="s">
        <v>121</v>
      </c>
      <c r="X56" t="s">
        <v>880</v>
      </c>
      <c r="Y56">
        <v>89664859</v>
      </c>
      <c r="AB56">
        <v>4</v>
      </c>
      <c r="AC56" t="s">
        <v>881</v>
      </c>
      <c r="AD56" s="1">
        <v>32586</v>
      </c>
      <c r="AE56" t="s">
        <v>882</v>
      </c>
      <c r="AF56" s="1">
        <v>33865</v>
      </c>
      <c r="AG56" t="s">
        <v>883</v>
      </c>
      <c r="AH56" s="1">
        <v>43987</v>
      </c>
      <c r="AI56" t="s">
        <v>884</v>
      </c>
      <c r="AJ56">
        <v>44095</v>
      </c>
      <c r="AM56" t="s">
        <v>885</v>
      </c>
      <c r="AN56" t="s">
        <v>886</v>
      </c>
      <c r="AO56" t="s">
        <v>317</v>
      </c>
      <c r="AP56" t="s">
        <v>318</v>
      </c>
      <c r="AQ56" t="s">
        <v>319</v>
      </c>
      <c r="AR56" t="s">
        <v>69</v>
      </c>
      <c r="AS56" t="s">
        <v>320</v>
      </c>
      <c r="AT56" t="s">
        <v>887</v>
      </c>
      <c r="AU56" t="s">
        <v>888</v>
      </c>
      <c r="AV56" t="s">
        <v>889</v>
      </c>
      <c r="AW56" t="s">
        <v>890</v>
      </c>
      <c r="AX56" t="s">
        <v>891</v>
      </c>
      <c r="AY56" t="s">
        <v>892</v>
      </c>
      <c r="AZ56" t="s">
        <v>893</v>
      </c>
      <c r="BA56" t="s">
        <v>98</v>
      </c>
      <c r="BD56" t="s">
        <v>78</v>
      </c>
      <c r="BF56" t="s">
        <v>79</v>
      </c>
    </row>
    <row r="57" spans="1:58" x14ac:dyDescent="0.25">
      <c r="A57" s="6">
        <v>99021388</v>
      </c>
      <c r="B57" t="s">
        <v>894</v>
      </c>
      <c r="C57" t="s">
        <v>895</v>
      </c>
      <c r="D57">
        <v>701280361</v>
      </c>
      <c r="E57" t="s">
        <v>52</v>
      </c>
      <c r="F57">
        <v>42</v>
      </c>
      <c r="H57" t="s">
        <v>53</v>
      </c>
      <c r="I57" t="s">
        <v>896</v>
      </c>
      <c r="J57">
        <v>60011620</v>
      </c>
      <c r="K57" t="s">
        <v>897</v>
      </c>
      <c r="O57" t="s">
        <v>898</v>
      </c>
      <c r="P57" t="s">
        <v>57</v>
      </c>
      <c r="Q57" t="s">
        <v>765</v>
      </c>
      <c r="S57" t="s">
        <v>899</v>
      </c>
      <c r="T57">
        <v>27636157</v>
      </c>
      <c r="U57" t="s">
        <v>900</v>
      </c>
      <c r="V57">
        <v>27636157</v>
      </c>
      <c r="W57" t="s">
        <v>203</v>
      </c>
      <c r="X57" t="s">
        <v>901</v>
      </c>
      <c r="Y57">
        <v>62017676</v>
      </c>
      <c r="Z57" t="s">
        <v>899</v>
      </c>
      <c r="AA57">
        <v>27636157</v>
      </c>
      <c r="AB57">
        <v>2</v>
      </c>
      <c r="AC57" t="s">
        <v>902</v>
      </c>
      <c r="AD57" s="1">
        <v>40327</v>
      </c>
      <c r="AE57" t="s">
        <v>903</v>
      </c>
      <c r="AF57" s="1">
        <v>41494</v>
      </c>
      <c r="AM57" t="s">
        <v>904</v>
      </c>
      <c r="AN57" t="s">
        <v>905</v>
      </c>
      <c r="AO57" t="s">
        <v>67</v>
      </c>
      <c r="AP57" t="s">
        <v>229</v>
      </c>
      <c r="AQ57" t="s">
        <v>230</v>
      </c>
      <c r="AR57" t="s">
        <v>69</v>
      </c>
      <c r="AS57" t="s">
        <v>906</v>
      </c>
      <c r="AT57" t="s">
        <v>907</v>
      </c>
      <c r="AU57" t="s">
        <v>908</v>
      </c>
      <c r="AZ57" t="s">
        <v>76</v>
      </c>
      <c r="BA57" t="s">
        <v>98</v>
      </c>
      <c r="BD57" t="s">
        <v>78</v>
      </c>
      <c r="BF57" t="s">
        <v>79</v>
      </c>
    </row>
    <row r="58" spans="1:58" x14ac:dyDescent="0.25">
      <c r="A58" s="6">
        <v>99022396</v>
      </c>
      <c r="B58" t="s">
        <v>909</v>
      </c>
      <c r="C58" t="s">
        <v>910</v>
      </c>
      <c r="D58">
        <v>702220334</v>
      </c>
      <c r="E58" t="s">
        <v>52</v>
      </c>
      <c r="F58">
        <v>27</v>
      </c>
      <c r="H58" t="s">
        <v>53</v>
      </c>
      <c r="I58" t="s">
        <v>911</v>
      </c>
      <c r="J58">
        <v>64099718</v>
      </c>
      <c r="K58" t="s">
        <v>912</v>
      </c>
      <c r="O58" t="s">
        <v>431</v>
      </c>
      <c r="S58" t="s">
        <v>913</v>
      </c>
      <c r="T58">
        <v>86957388</v>
      </c>
      <c r="U58" t="s">
        <v>914</v>
      </c>
      <c r="V58">
        <v>87224878</v>
      </c>
      <c r="W58" t="s">
        <v>203</v>
      </c>
      <c r="X58" t="s">
        <v>915</v>
      </c>
      <c r="Y58">
        <v>64731923</v>
      </c>
      <c r="AB58">
        <v>1</v>
      </c>
      <c r="AC58" t="s">
        <v>916</v>
      </c>
      <c r="AD58" s="1">
        <v>43810</v>
      </c>
      <c r="AM58" t="s">
        <v>917</v>
      </c>
      <c r="AN58" t="s">
        <v>918</v>
      </c>
      <c r="AO58" t="s">
        <v>317</v>
      </c>
      <c r="AP58" t="s">
        <v>318</v>
      </c>
      <c r="AQ58" t="s">
        <v>689</v>
      </c>
      <c r="AR58" t="s">
        <v>69</v>
      </c>
      <c r="AS58" t="s">
        <v>919</v>
      </c>
      <c r="AT58" t="s">
        <v>917</v>
      </c>
      <c r="AU58" t="s">
        <v>920</v>
      </c>
      <c r="AZ58" t="s">
        <v>727</v>
      </c>
      <c r="BA58" t="s">
        <v>98</v>
      </c>
      <c r="BB58" t="s">
        <v>921</v>
      </c>
      <c r="BC58" t="s">
        <v>115</v>
      </c>
      <c r="BF58" t="s">
        <v>79</v>
      </c>
    </row>
    <row r="59" spans="1:58" x14ac:dyDescent="0.25">
      <c r="A59" s="6">
        <v>21625</v>
      </c>
      <c r="B59" t="s">
        <v>979</v>
      </c>
      <c r="C59" t="s">
        <v>1244</v>
      </c>
      <c r="D59">
        <v>503210087</v>
      </c>
      <c r="E59" t="s">
        <v>52</v>
      </c>
      <c r="F59">
        <v>39</v>
      </c>
      <c r="H59" t="s">
        <v>53</v>
      </c>
      <c r="I59" t="s">
        <v>922</v>
      </c>
      <c r="J59">
        <v>84489925</v>
      </c>
      <c r="K59" t="s">
        <v>923</v>
      </c>
      <c r="O59" t="s">
        <v>482</v>
      </c>
      <c r="P59" t="s">
        <v>924</v>
      </c>
      <c r="Q59" t="s">
        <v>311</v>
      </c>
      <c r="S59" t="s">
        <v>925</v>
      </c>
      <c r="T59" t="s">
        <v>311</v>
      </c>
      <c r="U59" t="s">
        <v>926</v>
      </c>
      <c r="W59" t="s">
        <v>203</v>
      </c>
      <c r="X59" t="s">
        <v>927</v>
      </c>
      <c r="Y59">
        <v>88106799</v>
      </c>
      <c r="Z59" t="s">
        <v>928</v>
      </c>
      <c r="AB59">
        <v>1</v>
      </c>
      <c r="AC59" t="s">
        <v>929</v>
      </c>
      <c r="AD59" s="1">
        <v>41083</v>
      </c>
      <c r="AM59" t="s">
        <v>930</v>
      </c>
      <c r="AN59" t="s">
        <v>931</v>
      </c>
      <c r="AO59" t="s">
        <v>67</v>
      </c>
      <c r="AP59" t="s">
        <v>67</v>
      </c>
      <c r="AQ59" t="s">
        <v>71</v>
      </c>
      <c r="AR59" t="s">
        <v>69</v>
      </c>
      <c r="AS59" t="s">
        <v>932</v>
      </c>
      <c r="AT59" t="s">
        <v>933</v>
      </c>
      <c r="AU59" t="s">
        <v>934</v>
      </c>
      <c r="AZ59" t="s">
        <v>212</v>
      </c>
      <c r="BA59" t="s">
        <v>77</v>
      </c>
      <c r="BB59" t="s">
        <v>935</v>
      </c>
      <c r="BD59" t="s">
        <v>78</v>
      </c>
      <c r="BF59" t="s">
        <v>79</v>
      </c>
    </row>
    <row r="60" spans="1:58" x14ac:dyDescent="0.25">
      <c r="A60" s="6">
        <v>99022390</v>
      </c>
      <c r="B60" t="s">
        <v>936</v>
      </c>
      <c r="C60" t="s">
        <v>937</v>
      </c>
      <c r="D60">
        <v>702620223</v>
      </c>
      <c r="E60" t="s">
        <v>52</v>
      </c>
      <c r="F60">
        <v>24</v>
      </c>
      <c r="H60" t="s">
        <v>53</v>
      </c>
      <c r="I60" t="s">
        <v>938</v>
      </c>
      <c r="J60">
        <v>60430083</v>
      </c>
      <c r="K60" t="s">
        <v>939</v>
      </c>
      <c r="O60" t="s">
        <v>699</v>
      </c>
      <c r="P60" t="s">
        <v>940</v>
      </c>
      <c r="Q60" t="s">
        <v>864</v>
      </c>
      <c r="R60" t="s">
        <v>433</v>
      </c>
      <c r="T60">
        <v>27636116</v>
      </c>
      <c r="U60" t="s">
        <v>941</v>
      </c>
      <c r="V60">
        <v>27636116</v>
      </c>
      <c r="W60" t="s">
        <v>88</v>
      </c>
      <c r="X60" t="s">
        <v>1277</v>
      </c>
      <c r="Y60">
        <v>83960445</v>
      </c>
      <c r="Z60" t="s">
        <v>132</v>
      </c>
      <c r="AA60">
        <v>88631323</v>
      </c>
      <c r="AM60" t="s">
        <v>942</v>
      </c>
      <c r="AN60" t="s">
        <v>943</v>
      </c>
      <c r="AO60" t="s">
        <v>67</v>
      </c>
      <c r="AP60" t="s">
        <v>379</v>
      </c>
      <c r="AQ60" t="s">
        <v>380</v>
      </c>
      <c r="AR60" t="s">
        <v>69</v>
      </c>
      <c r="AS60" t="s">
        <v>944</v>
      </c>
      <c r="AZ60" t="s">
        <v>97</v>
      </c>
      <c r="BA60" t="s">
        <v>98</v>
      </c>
      <c r="BC60" t="s">
        <v>115</v>
      </c>
      <c r="BF60" t="s">
        <v>79</v>
      </c>
    </row>
    <row r="61" spans="1:58" x14ac:dyDescent="0.25">
      <c r="A61" s="6">
        <v>21665</v>
      </c>
      <c r="B61" t="s">
        <v>945</v>
      </c>
      <c r="C61" t="s">
        <v>946</v>
      </c>
      <c r="D61">
        <v>110290656</v>
      </c>
      <c r="E61" t="s">
        <v>52</v>
      </c>
      <c r="F61">
        <v>41</v>
      </c>
      <c r="H61" t="s">
        <v>53</v>
      </c>
      <c r="I61" t="s">
        <v>947</v>
      </c>
      <c r="J61">
        <v>88492282</v>
      </c>
      <c r="K61" t="s">
        <v>948</v>
      </c>
      <c r="O61" t="s">
        <v>431</v>
      </c>
      <c r="Q61" t="s">
        <v>267</v>
      </c>
      <c r="R61" t="s">
        <v>252</v>
      </c>
      <c r="S61" t="s">
        <v>949</v>
      </c>
      <c r="U61" t="s">
        <v>950</v>
      </c>
      <c r="W61" t="s">
        <v>88</v>
      </c>
      <c r="Z61" t="s">
        <v>951</v>
      </c>
      <c r="AM61" t="s">
        <v>952</v>
      </c>
      <c r="AO61" t="s">
        <v>67</v>
      </c>
      <c r="AP61" t="s">
        <v>67</v>
      </c>
      <c r="AQ61" t="s">
        <v>71</v>
      </c>
      <c r="AR61" t="s">
        <v>69</v>
      </c>
      <c r="AS61" t="s">
        <v>92</v>
      </c>
      <c r="AT61" t="s">
        <v>953</v>
      </c>
      <c r="AU61" t="s">
        <v>954</v>
      </c>
      <c r="AZ61" t="s">
        <v>76</v>
      </c>
      <c r="BC61" t="s">
        <v>115</v>
      </c>
      <c r="BF61" t="s">
        <v>79</v>
      </c>
    </row>
    <row r="62" spans="1:58" x14ac:dyDescent="0.25">
      <c r="A62" s="6">
        <v>99022397</v>
      </c>
      <c r="B62" t="s">
        <v>955</v>
      </c>
      <c r="C62" t="s">
        <v>956</v>
      </c>
      <c r="D62">
        <v>702540041</v>
      </c>
      <c r="E62" t="s">
        <v>52</v>
      </c>
      <c r="F62">
        <v>23</v>
      </c>
      <c r="H62" t="s">
        <v>53</v>
      </c>
      <c r="I62" t="s">
        <v>957</v>
      </c>
      <c r="J62">
        <v>89607106</v>
      </c>
      <c r="K62" t="s">
        <v>958</v>
      </c>
      <c r="O62" t="s">
        <v>515</v>
      </c>
      <c r="P62" t="s">
        <v>959</v>
      </c>
      <c r="Q62" t="s">
        <v>163</v>
      </c>
      <c r="R62" t="s">
        <v>252</v>
      </c>
      <c r="S62" t="s">
        <v>960</v>
      </c>
      <c r="T62">
        <v>86607027</v>
      </c>
      <c r="U62" t="s">
        <v>961</v>
      </c>
      <c r="V62">
        <v>88838559</v>
      </c>
      <c r="W62" t="s">
        <v>88</v>
      </c>
      <c r="Z62" t="s">
        <v>962</v>
      </c>
      <c r="AM62" t="s">
        <v>963</v>
      </c>
      <c r="AN62" t="s">
        <v>964</v>
      </c>
      <c r="AO62" t="s">
        <v>67</v>
      </c>
      <c r="AP62" t="s">
        <v>67</v>
      </c>
      <c r="AQ62" t="s">
        <v>71</v>
      </c>
      <c r="AR62" t="s">
        <v>69</v>
      </c>
      <c r="AS62" t="s">
        <v>304</v>
      </c>
      <c r="AZ62" t="s">
        <v>965</v>
      </c>
      <c r="BA62" t="s">
        <v>77</v>
      </c>
      <c r="BF62" t="s">
        <v>79</v>
      </c>
    </row>
    <row r="63" spans="1:58" x14ac:dyDescent="0.25">
      <c r="A63" s="6">
        <v>99022401</v>
      </c>
      <c r="B63" t="s">
        <v>966</v>
      </c>
      <c r="C63" t="s">
        <v>967</v>
      </c>
      <c r="D63">
        <v>702500380</v>
      </c>
      <c r="E63" t="s">
        <v>52</v>
      </c>
      <c r="F63">
        <v>23</v>
      </c>
      <c r="H63" t="s">
        <v>53</v>
      </c>
      <c r="I63" t="s">
        <v>968</v>
      </c>
      <c r="J63">
        <v>84675371</v>
      </c>
      <c r="K63" t="s">
        <v>969</v>
      </c>
      <c r="O63" t="s">
        <v>431</v>
      </c>
      <c r="P63" t="s">
        <v>970</v>
      </c>
      <c r="Q63" t="s">
        <v>267</v>
      </c>
      <c r="R63" t="s">
        <v>164</v>
      </c>
      <c r="S63" t="s">
        <v>971</v>
      </c>
      <c r="T63">
        <v>86180339</v>
      </c>
      <c r="U63" t="s">
        <v>972</v>
      </c>
      <c r="W63" t="s">
        <v>203</v>
      </c>
      <c r="X63" t="s">
        <v>973</v>
      </c>
      <c r="Z63" t="s">
        <v>974</v>
      </c>
      <c r="AC63" t="s">
        <v>563</v>
      </c>
      <c r="AE63" t="s">
        <v>563</v>
      </c>
      <c r="AG63" t="s">
        <v>563</v>
      </c>
      <c r="AI63" t="s">
        <v>563</v>
      </c>
      <c r="AK63" t="s">
        <v>563</v>
      </c>
      <c r="AM63" t="s">
        <v>975</v>
      </c>
      <c r="AN63" t="s">
        <v>633</v>
      </c>
      <c r="AO63" t="s">
        <v>67</v>
      </c>
      <c r="AP63" t="s">
        <v>67</v>
      </c>
      <c r="AQ63" t="s">
        <v>71</v>
      </c>
      <c r="AR63" t="s">
        <v>69</v>
      </c>
      <c r="AS63" t="s">
        <v>304</v>
      </c>
      <c r="AT63" t="s">
        <v>976</v>
      </c>
      <c r="AU63" t="s">
        <v>977</v>
      </c>
      <c r="AV63" t="s">
        <v>975</v>
      </c>
      <c r="AW63" t="s">
        <v>978</v>
      </c>
      <c r="AZ63" t="s">
        <v>212</v>
      </c>
      <c r="BA63" t="s">
        <v>98</v>
      </c>
      <c r="BC63" t="s">
        <v>115</v>
      </c>
      <c r="BF63" t="s">
        <v>79</v>
      </c>
    </row>
    <row r="64" spans="1:58" x14ac:dyDescent="0.25">
      <c r="A64" s="6">
        <v>22382</v>
      </c>
      <c r="B64" t="s">
        <v>979</v>
      </c>
      <c r="C64" t="s">
        <v>980</v>
      </c>
      <c r="D64">
        <v>702140517</v>
      </c>
      <c r="E64" t="s">
        <v>52</v>
      </c>
      <c r="F64">
        <v>27</v>
      </c>
      <c r="H64" t="s">
        <v>53</v>
      </c>
      <c r="I64" t="s">
        <v>981</v>
      </c>
      <c r="J64">
        <v>85503100</v>
      </c>
      <c r="K64" t="s">
        <v>982</v>
      </c>
      <c r="O64" t="s">
        <v>515</v>
      </c>
      <c r="Q64" t="s">
        <v>777</v>
      </c>
      <c r="S64" t="s">
        <v>983</v>
      </c>
      <c r="T64">
        <v>88007791</v>
      </c>
      <c r="U64" t="s">
        <v>984</v>
      </c>
      <c r="V64">
        <v>87210603</v>
      </c>
      <c r="W64" t="s">
        <v>203</v>
      </c>
      <c r="X64" t="s">
        <v>985</v>
      </c>
      <c r="Y64">
        <v>64627174</v>
      </c>
      <c r="Z64" t="s">
        <v>986</v>
      </c>
      <c r="AA64">
        <v>61104298</v>
      </c>
      <c r="AB64">
        <v>1</v>
      </c>
      <c r="AC64" t="s">
        <v>987</v>
      </c>
      <c r="AD64" s="1">
        <v>43403</v>
      </c>
      <c r="AM64" t="s">
        <v>988</v>
      </c>
      <c r="AN64" t="s">
        <v>989</v>
      </c>
      <c r="AO64" t="s">
        <v>756</v>
      </c>
      <c r="AP64" t="s">
        <v>318</v>
      </c>
      <c r="AQ64" t="s">
        <v>319</v>
      </c>
      <c r="AR64" t="s">
        <v>69</v>
      </c>
      <c r="AS64" t="s">
        <v>990</v>
      </c>
      <c r="AT64" t="s">
        <v>991</v>
      </c>
      <c r="AU64" t="s">
        <v>992</v>
      </c>
      <c r="AZ64" t="s">
        <v>727</v>
      </c>
      <c r="BA64" t="s">
        <v>98</v>
      </c>
      <c r="BB64" t="s">
        <v>993</v>
      </c>
      <c r="BC64" t="s">
        <v>115</v>
      </c>
      <c r="BF64" t="s">
        <v>79</v>
      </c>
    </row>
    <row r="65" spans="1:155" x14ac:dyDescent="0.25">
      <c r="A65" s="6">
        <v>30206</v>
      </c>
      <c r="B65" t="s">
        <v>994</v>
      </c>
      <c r="C65" t="s">
        <v>995</v>
      </c>
      <c r="D65">
        <v>702680628</v>
      </c>
      <c r="E65" t="s">
        <v>52</v>
      </c>
      <c r="F65">
        <v>21</v>
      </c>
      <c r="H65" t="s">
        <v>53</v>
      </c>
      <c r="I65" t="s">
        <v>996</v>
      </c>
      <c r="J65">
        <v>86826365</v>
      </c>
      <c r="K65" t="s">
        <v>997</v>
      </c>
      <c r="O65" t="s">
        <v>515</v>
      </c>
      <c r="S65" t="s">
        <v>998</v>
      </c>
      <c r="T65">
        <v>86820291</v>
      </c>
      <c r="W65" t="s">
        <v>88</v>
      </c>
      <c r="AM65" t="s">
        <v>999</v>
      </c>
      <c r="AN65" t="s">
        <v>1000</v>
      </c>
      <c r="AO65" t="s">
        <v>67</v>
      </c>
      <c r="AP65" t="s">
        <v>549</v>
      </c>
      <c r="AQ65" t="s">
        <v>550</v>
      </c>
      <c r="AR65" t="s">
        <v>69</v>
      </c>
      <c r="AS65" t="s">
        <v>1001</v>
      </c>
      <c r="AT65" t="s">
        <v>754</v>
      </c>
      <c r="AU65" t="s">
        <v>1002</v>
      </c>
      <c r="AV65" t="s">
        <v>857</v>
      </c>
      <c r="AW65" t="s">
        <v>1002</v>
      </c>
      <c r="BA65" t="s">
        <v>77</v>
      </c>
      <c r="BB65" t="s">
        <v>1003</v>
      </c>
      <c r="BC65" t="s">
        <v>115</v>
      </c>
      <c r="BF65" t="s">
        <v>367</v>
      </c>
    </row>
    <row r="66" spans="1:155" x14ac:dyDescent="0.25">
      <c r="A66" s="6">
        <v>21486</v>
      </c>
      <c r="B66" t="s">
        <v>1263</v>
      </c>
      <c r="C66" t="s">
        <v>429</v>
      </c>
      <c r="D66">
        <v>701200128</v>
      </c>
      <c r="E66" t="s">
        <v>52</v>
      </c>
      <c r="F66">
        <v>44</v>
      </c>
      <c r="H66" t="s">
        <v>53</v>
      </c>
      <c r="J66">
        <v>83593627</v>
      </c>
      <c r="K66" t="s">
        <v>1004</v>
      </c>
      <c r="O66" t="s">
        <v>482</v>
      </c>
      <c r="P66" t="s">
        <v>1005</v>
      </c>
      <c r="Q66" t="s">
        <v>1006</v>
      </c>
      <c r="R66" t="s">
        <v>164</v>
      </c>
      <c r="S66" t="s">
        <v>1007</v>
      </c>
      <c r="U66" t="s">
        <v>1008</v>
      </c>
      <c r="W66" t="s">
        <v>203</v>
      </c>
      <c r="X66" t="s">
        <v>1009</v>
      </c>
      <c r="Z66" t="s">
        <v>1010</v>
      </c>
      <c r="AB66">
        <v>2</v>
      </c>
      <c r="AC66" t="s">
        <v>1011</v>
      </c>
      <c r="AD66" s="1">
        <v>43966</v>
      </c>
      <c r="AE66" t="s">
        <v>1012</v>
      </c>
      <c r="AF66" s="1">
        <v>43915</v>
      </c>
      <c r="AM66" t="s">
        <v>1013</v>
      </c>
      <c r="AN66" t="s">
        <v>1014</v>
      </c>
      <c r="AO66" t="s">
        <v>67</v>
      </c>
      <c r="AP66" t="s">
        <v>67</v>
      </c>
      <c r="AQ66" t="s">
        <v>71</v>
      </c>
      <c r="AR66" t="s">
        <v>69</v>
      </c>
      <c r="AS66" t="s">
        <v>1015</v>
      </c>
      <c r="AT66" t="s">
        <v>1013</v>
      </c>
      <c r="AU66" t="s">
        <v>1016</v>
      </c>
      <c r="AZ66" t="s">
        <v>307</v>
      </c>
      <c r="BA66" t="s">
        <v>77</v>
      </c>
      <c r="BD66" t="s">
        <v>78</v>
      </c>
      <c r="BF66" t="s">
        <v>79</v>
      </c>
    </row>
    <row r="67" spans="1:155" x14ac:dyDescent="0.25">
      <c r="A67" s="6">
        <v>22450</v>
      </c>
      <c r="B67" t="s">
        <v>1017</v>
      </c>
      <c r="C67" t="s">
        <v>1243</v>
      </c>
      <c r="D67">
        <v>603160749</v>
      </c>
      <c r="E67" t="s">
        <v>52</v>
      </c>
      <c r="F67">
        <v>39</v>
      </c>
      <c r="H67" t="s">
        <v>53</v>
      </c>
      <c r="J67">
        <v>64095021</v>
      </c>
      <c r="K67" t="s">
        <v>1018</v>
      </c>
      <c r="O67" t="s">
        <v>898</v>
      </c>
      <c r="P67" t="s">
        <v>1019</v>
      </c>
      <c r="S67" t="s">
        <v>1020</v>
      </c>
      <c r="T67">
        <v>86335233</v>
      </c>
      <c r="U67" t="s">
        <v>1021</v>
      </c>
      <c r="W67" t="s">
        <v>121</v>
      </c>
      <c r="X67" t="s">
        <v>1022</v>
      </c>
      <c r="Z67" t="s">
        <v>1023</v>
      </c>
      <c r="AB67">
        <v>3</v>
      </c>
      <c r="AC67" t="s">
        <v>1024</v>
      </c>
      <c r="AG67" t="s">
        <v>1025</v>
      </c>
      <c r="AH67" s="1">
        <v>44082</v>
      </c>
      <c r="AK67" t="s">
        <v>1026</v>
      </c>
      <c r="AM67" t="s">
        <v>1027</v>
      </c>
      <c r="AN67" t="s">
        <v>1028</v>
      </c>
      <c r="AO67" t="s">
        <v>67</v>
      </c>
      <c r="AP67" t="s">
        <v>67</v>
      </c>
      <c r="AQ67" t="s">
        <v>71</v>
      </c>
      <c r="AR67" t="s">
        <v>69</v>
      </c>
      <c r="AS67" t="s">
        <v>1029</v>
      </c>
      <c r="AT67" t="s">
        <v>232</v>
      </c>
      <c r="AZ67" t="s">
        <v>1030</v>
      </c>
      <c r="BA67" t="s">
        <v>98</v>
      </c>
      <c r="BC67" t="s">
        <v>115</v>
      </c>
      <c r="BF67" t="s">
        <v>79</v>
      </c>
    </row>
    <row r="68" spans="1:155" x14ac:dyDescent="0.25">
      <c r="A68" s="6">
        <v>21489</v>
      </c>
      <c r="B68" t="s">
        <v>1239</v>
      </c>
      <c r="C68" t="s">
        <v>1240</v>
      </c>
      <c r="D68">
        <v>701030446</v>
      </c>
      <c r="E68" t="s">
        <v>52</v>
      </c>
      <c r="F68">
        <v>48</v>
      </c>
      <c r="H68" t="s">
        <v>53</v>
      </c>
      <c r="J68">
        <v>86286512</v>
      </c>
      <c r="K68" t="s">
        <v>1031</v>
      </c>
      <c r="O68" t="s">
        <v>482</v>
      </c>
      <c r="P68" t="s">
        <v>1032</v>
      </c>
      <c r="Q68" t="s">
        <v>1033</v>
      </c>
      <c r="R68" t="s">
        <v>164</v>
      </c>
      <c r="S68" t="s">
        <v>1034</v>
      </c>
      <c r="T68">
        <v>27637114</v>
      </c>
      <c r="W68" t="s">
        <v>88</v>
      </c>
      <c r="Z68" t="s">
        <v>1035</v>
      </c>
      <c r="AA68">
        <v>627872434</v>
      </c>
      <c r="AB68">
        <v>4</v>
      </c>
      <c r="AC68" t="s">
        <v>1036</v>
      </c>
      <c r="AD68" s="1">
        <v>44116</v>
      </c>
      <c r="AF68" s="1">
        <v>44116</v>
      </c>
      <c r="AI68" t="s">
        <v>1037</v>
      </c>
      <c r="AJ68">
        <v>44106</v>
      </c>
      <c r="AM68" t="s">
        <v>1038</v>
      </c>
      <c r="AN68" t="s">
        <v>1039</v>
      </c>
      <c r="AO68" t="s">
        <v>67</v>
      </c>
      <c r="AP68" t="s">
        <v>318</v>
      </c>
      <c r="AQ68" t="s">
        <v>319</v>
      </c>
      <c r="AR68" t="s">
        <v>69</v>
      </c>
      <c r="AS68" t="s">
        <v>1040</v>
      </c>
      <c r="AT68" t="s">
        <v>1041</v>
      </c>
      <c r="AU68" t="s">
        <v>1042</v>
      </c>
      <c r="AZ68" t="s">
        <v>409</v>
      </c>
      <c r="BA68" t="s">
        <v>98</v>
      </c>
      <c r="BD68" t="s">
        <v>78</v>
      </c>
      <c r="BF68" t="s">
        <v>79</v>
      </c>
    </row>
    <row r="69" spans="1:155" x14ac:dyDescent="0.25">
      <c r="A69" s="6">
        <v>99022429</v>
      </c>
      <c r="B69" t="s">
        <v>1262</v>
      </c>
      <c r="C69" t="s">
        <v>1269</v>
      </c>
      <c r="D69">
        <v>701690246</v>
      </c>
      <c r="E69" t="s">
        <v>52</v>
      </c>
      <c r="F69">
        <v>34</v>
      </c>
      <c r="H69" t="s">
        <v>53</v>
      </c>
      <c r="J69">
        <v>84928061</v>
      </c>
      <c r="K69" t="s">
        <v>1043</v>
      </c>
      <c r="O69" t="s">
        <v>482</v>
      </c>
      <c r="S69" t="s">
        <v>1044</v>
      </c>
      <c r="U69" t="s">
        <v>1045</v>
      </c>
      <c r="V69">
        <v>85310021</v>
      </c>
      <c r="W69" t="s">
        <v>203</v>
      </c>
      <c r="X69" t="s">
        <v>1046</v>
      </c>
      <c r="Y69">
        <v>86397243</v>
      </c>
      <c r="AB69">
        <v>2</v>
      </c>
      <c r="AC69" t="s">
        <v>1047</v>
      </c>
      <c r="AD69" s="1">
        <v>41538</v>
      </c>
      <c r="AO69" t="s">
        <v>67</v>
      </c>
      <c r="AP69" t="s">
        <v>318</v>
      </c>
      <c r="AQ69" t="s">
        <v>319</v>
      </c>
      <c r="AR69" t="s">
        <v>69</v>
      </c>
      <c r="AS69" t="s">
        <v>1048</v>
      </c>
      <c r="AT69" t="s">
        <v>1049</v>
      </c>
      <c r="AZ69" t="s">
        <v>1050</v>
      </c>
      <c r="BA69" t="s">
        <v>98</v>
      </c>
      <c r="BD69" t="s">
        <v>78</v>
      </c>
      <c r="BF69" t="s">
        <v>79</v>
      </c>
    </row>
    <row r="70" spans="1:155" x14ac:dyDescent="0.25">
      <c r="A70" s="7" t="s">
        <v>1051</v>
      </c>
      <c r="B70" t="s">
        <v>234</v>
      </c>
      <c r="C70" t="s">
        <v>1052</v>
      </c>
      <c r="D70">
        <v>106060450</v>
      </c>
      <c r="E70" t="s">
        <v>52</v>
      </c>
      <c r="F70">
        <v>57</v>
      </c>
      <c r="H70" t="s">
        <v>53</v>
      </c>
      <c r="I70" t="s">
        <v>1053</v>
      </c>
      <c r="J70">
        <v>83563771</v>
      </c>
      <c r="K70" t="s">
        <v>1054</v>
      </c>
      <c r="O70" t="s">
        <v>684</v>
      </c>
      <c r="P70" t="s">
        <v>1055</v>
      </c>
      <c r="Q70" t="s">
        <v>163</v>
      </c>
      <c r="R70" t="s">
        <v>433</v>
      </c>
      <c r="S70" t="s">
        <v>1056</v>
      </c>
      <c r="T70" t="s">
        <v>1057</v>
      </c>
      <c r="U70" t="s">
        <v>1058</v>
      </c>
      <c r="V70">
        <v>21008267</v>
      </c>
      <c r="W70" t="s">
        <v>121</v>
      </c>
      <c r="X70" t="s">
        <v>1059</v>
      </c>
      <c r="Y70">
        <v>83850458</v>
      </c>
      <c r="Z70" t="s">
        <v>1060</v>
      </c>
      <c r="AA70">
        <v>21008267</v>
      </c>
      <c r="AB70">
        <v>1</v>
      </c>
      <c r="AC70" t="s">
        <v>1061</v>
      </c>
      <c r="AD70" s="1">
        <v>35755</v>
      </c>
      <c r="AM70" t="s">
        <v>1062</v>
      </c>
      <c r="AN70" t="s">
        <v>1063</v>
      </c>
      <c r="AO70" t="s">
        <v>67</v>
      </c>
      <c r="AP70" t="s">
        <v>67</v>
      </c>
      <c r="AQ70" t="s">
        <v>68</v>
      </c>
      <c r="AR70" t="s">
        <v>69</v>
      </c>
      <c r="AS70" t="s">
        <v>810</v>
      </c>
      <c r="AT70" t="s">
        <v>1064</v>
      </c>
      <c r="AU70" t="s">
        <v>908</v>
      </c>
      <c r="AZ70" t="s">
        <v>1050</v>
      </c>
      <c r="BA70" t="s">
        <v>98</v>
      </c>
      <c r="BB70" t="s">
        <v>1065</v>
      </c>
      <c r="BC70" t="s">
        <v>115</v>
      </c>
      <c r="BF70" t="s">
        <v>367</v>
      </c>
    </row>
    <row r="71" spans="1:155" x14ac:dyDescent="0.25">
      <c r="A71" s="6">
        <v>99022444</v>
      </c>
      <c r="B71" t="s">
        <v>1066</v>
      </c>
      <c r="C71" t="s">
        <v>1067</v>
      </c>
      <c r="D71">
        <v>701420803</v>
      </c>
      <c r="E71" t="s">
        <v>370</v>
      </c>
      <c r="F71">
        <v>39</v>
      </c>
      <c r="H71" t="s">
        <v>53</v>
      </c>
      <c r="I71" t="s">
        <v>1068</v>
      </c>
      <c r="J71">
        <v>85642671</v>
      </c>
      <c r="K71" t="s">
        <v>1069</v>
      </c>
      <c r="O71" t="s">
        <v>1070</v>
      </c>
      <c r="P71" t="s">
        <v>1071</v>
      </c>
      <c r="S71" t="s">
        <v>1072</v>
      </c>
      <c r="T71">
        <v>27104455</v>
      </c>
      <c r="U71" t="s">
        <v>1073</v>
      </c>
      <c r="V71">
        <v>89294550</v>
      </c>
      <c r="W71" t="s">
        <v>60</v>
      </c>
      <c r="Z71" t="s">
        <v>1074</v>
      </c>
      <c r="AA71">
        <v>86954857</v>
      </c>
      <c r="AB71">
        <v>1</v>
      </c>
      <c r="AC71" t="s">
        <v>1075</v>
      </c>
      <c r="AD71" s="1">
        <v>36677</v>
      </c>
      <c r="AM71" t="s">
        <v>1076</v>
      </c>
      <c r="AN71" t="s">
        <v>1077</v>
      </c>
      <c r="AO71" t="s">
        <v>1078</v>
      </c>
      <c r="AP71" t="s">
        <v>1079</v>
      </c>
      <c r="AQ71" t="s">
        <v>1080</v>
      </c>
      <c r="AR71" t="s">
        <v>69</v>
      </c>
      <c r="AS71" t="s">
        <v>1081</v>
      </c>
      <c r="AT71" t="s">
        <v>1082</v>
      </c>
      <c r="AU71" t="s">
        <v>292</v>
      </c>
      <c r="AZ71" t="s">
        <v>366</v>
      </c>
      <c r="BA71" t="s">
        <v>98</v>
      </c>
      <c r="BC71" t="s">
        <v>115</v>
      </c>
      <c r="BF71" t="s">
        <v>367</v>
      </c>
      <c r="BR71" s="1">
        <v>23104</v>
      </c>
      <c r="BS71" s="1">
        <v>23104</v>
      </c>
      <c r="BT71" t="s">
        <v>2227</v>
      </c>
      <c r="CD71" s="1">
        <v>32966</v>
      </c>
      <c r="EP71" s="43">
        <v>58</v>
      </c>
      <c r="EQ71" s="43">
        <v>58</v>
      </c>
      <c r="ES71" s="43">
        <v>21</v>
      </c>
      <c r="EY71">
        <v>31</v>
      </c>
    </row>
    <row r="72" spans="1:155" x14ac:dyDescent="0.25">
      <c r="A72" s="6">
        <v>99021714</v>
      </c>
      <c r="B72" t="s">
        <v>1083</v>
      </c>
      <c r="C72" t="s">
        <v>1084</v>
      </c>
      <c r="D72">
        <v>109090133</v>
      </c>
      <c r="E72" t="s">
        <v>52</v>
      </c>
      <c r="F72">
        <v>45</v>
      </c>
      <c r="H72" t="s">
        <v>53</v>
      </c>
      <c r="I72" t="s">
        <v>1085</v>
      </c>
      <c r="J72">
        <v>88271080</v>
      </c>
      <c r="K72" t="s">
        <v>1086</v>
      </c>
      <c r="O72" t="s">
        <v>1087</v>
      </c>
      <c r="P72" t="s">
        <v>1088</v>
      </c>
      <c r="Q72" t="s">
        <v>267</v>
      </c>
      <c r="R72" t="s">
        <v>164</v>
      </c>
      <c r="S72" t="s">
        <v>1089</v>
      </c>
      <c r="T72" t="s">
        <v>563</v>
      </c>
      <c r="U72" t="s">
        <v>1090</v>
      </c>
      <c r="W72" t="s">
        <v>60</v>
      </c>
      <c r="Z72" t="s">
        <v>1091</v>
      </c>
      <c r="AA72">
        <v>84185179</v>
      </c>
      <c r="AB72">
        <v>2</v>
      </c>
      <c r="AC72" t="s">
        <v>1092</v>
      </c>
      <c r="AD72" s="1">
        <v>35177</v>
      </c>
      <c r="AE72" t="s">
        <v>1093</v>
      </c>
      <c r="AF72" s="1">
        <v>38463</v>
      </c>
      <c r="AM72" t="s">
        <v>1094</v>
      </c>
      <c r="AN72" t="s">
        <v>1095</v>
      </c>
      <c r="AO72" t="s">
        <v>67</v>
      </c>
      <c r="AP72" t="s">
        <v>379</v>
      </c>
      <c r="AQ72" t="s">
        <v>380</v>
      </c>
      <c r="AR72" t="s">
        <v>69</v>
      </c>
      <c r="AS72" t="s">
        <v>1096</v>
      </c>
      <c r="AZ72" t="s">
        <v>1097</v>
      </c>
      <c r="BA72" t="s">
        <v>98</v>
      </c>
      <c r="BC72" t="s">
        <v>115</v>
      </c>
      <c r="BF72" t="s">
        <v>367</v>
      </c>
    </row>
    <row r="73" spans="1:155" x14ac:dyDescent="0.25">
      <c r="A73" s="6">
        <v>99022380</v>
      </c>
      <c r="B73" t="s">
        <v>1098</v>
      </c>
      <c r="C73" t="s">
        <v>1099</v>
      </c>
      <c r="D73">
        <v>702520492</v>
      </c>
      <c r="E73" t="s">
        <v>52</v>
      </c>
      <c r="F73">
        <v>24</v>
      </c>
      <c r="H73" t="s">
        <v>53</v>
      </c>
      <c r="I73" t="s">
        <v>1100</v>
      </c>
      <c r="J73">
        <v>87726545</v>
      </c>
      <c r="K73" t="s">
        <v>1101</v>
      </c>
      <c r="O73" t="s">
        <v>442</v>
      </c>
      <c r="P73" t="s">
        <v>1102</v>
      </c>
      <c r="S73" t="s">
        <v>1103</v>
      </c>
      <c r="T73">
        <v>87125140</v>
      </c>
      <c r="U73" t="s">
        <v>1104</v>
      </c>
      <c r="V73">
        <v>60114348</v>
      </c>
      <c r="W73" t="s">
        <v>121</v>
      </c>
      <c r="X73" t="s">
        <v>1105</v>
      </c>
      <c r="Y73">
        <v>86269075</v>
      </c>
      <c r="AM73" t="s">
        <v>1106</v>
      </c>
      <c r="AN73" t="s">
        <v>1107</v>
      </c>
      <c r="AO73" t="s">
        <v>317</v>
      </c>
      <c r="AP73" t="s">
        <v>318</v>
      </c>
      <c r="AQ73" t="s">
        <v>319</v>
      </c>
      <c r="AR73" t="s">
        <v>69</v>
      </c>
      <c r="AS73" t="s">
        <v>758</v>
      </c>
      <c r="AT73" t="s">
        <v>1108</v>
      </c>
      <c r="AU73" t="s">
        <v>599</v>
      </c>
      <c r="AV73" t="s">
        <v>1109</v>
      </c>
      <c r="AW73" t="s">
        <v>1110</v>
      </c>
      <c r="AZ73" t="s">
        <v>409</v>
      </c>
      <c r="BA73" t="s">
        <v>98</v>
      </c>
      <c r="BB73" t="s">
        <v>1111</v>
      </c>
      <c r="BC73" t="s">
        <v>115</v>
      </c>
      <c r="BF73" t="s">
        <v>79</v>
      </c>
    </row>
    <row r="74" spans="1:155" x14ac:dyDescent="0.25">
      <c r="A74" s="6">
        <v>99022340</v>
      </c>
      <c r="B74" t="s">
        <v>551</v>
      </c>
      <c r="C74" t="s">
        <v>1112</v>
      </c>
      <c r="D74">
        <v>207070183</v>
      </c>
      <c r="E74" t="s">
        <v>52</v>
      </c>
      <c r="F74">
        <v>28</v>
      </c>
      <c r="H74" t="s">
        <v>53</v>
      </c>
      <c r="I74" t="s">
        <v>1113</v>
      </c>
      <c r="J74">
        <v>60583196</v>
      </c>
      <c r="K74" t="s">
        <v>1114</v>
      </c>
      <c r="O74" t="s">
        <v>1115</v>
      </c>
      <c r="P74" t="s">
        <v>1116</v>
      </c>
      <c r="Q74" t="s">
        <v>528</v>
      </c>
      <c r="R74" t="s">
        <v>252</v>
      </c>
      <c r="S74" t="s">
        <v>1117</v>
      </c>
      <c r="T74">
        <v>84611919</v>
      </c>
      <c r="U74" t="s">
        <v>1118</v>
      </c>
      <c r="V74">
        <v>88513759</v>
      </c>
      <c r="W74" t="s">
        <v>88</v>
      </c>
      <c r="AB74">
        <v>1</v>
      </c>
      <c r="AC74" t="s">
        <v>1119</v>
      </c>
      <c r="AD74" s="1">
        <v>41850</v>
      </c>
      <c r="AM74" t="s">
        <v>1120</v>
      </c>
      <c r="AN74" t="s">
        <v>1121</v>
      </c>
      <c r="AO74" t="s">
        <v>317</v>
      </c>
      <c r="AP74" t="s">
        <v>549</v>
      </c>
      <c r="AQ74" t="s">
        <v>550</v>
      </c>
      <c r="AR74" t="s">
        <v>69</v>
      </c>
      <c r="AS74" t="s">
        <v>564</v>
      </c>
      <c r="AT74" t="s">
        <v>1122</v>
      </c>
      <c r="AU74" t="s">
        <v>144</v>
      </c>
      <c r="AV74" t="s">
        <v>1123</v>
      </c>
      <c r="AW74" t="s">
        <v>72</v>
      </c>
      <c r="AX74" t="s">
        <v>1120</v>
      </c>
      <c r="AY74" t="s">
        <v>1124</v>
      </c>
      <c r="BA74" t="s">
        <v>98</v>
      </c>
      <c r="BB74" t="s">
        <v>1125</v>
      </c>
      <c r="BF74" t="s">
        <v>367</v>
      </c>
    </row>
    <row r="75" spans="1:155" x14ac:dyDescent="0.25">
      <c r="A75" s="6">
        <v>99022449</v>
      </c>
      <c r="B75" t="s">
        <v>1126</v>
      </c>
      <c r="C75" t="s">
        <v>1127</v>
      </c>
      <c r="D75">
        <v>402520720</v>
      </c>
      <c r="E75" t="s">
        <v>52</v>
      </c>
      <c r="F75">
        <v>19</v>
      </c>
      <c r="H75" t="s">
        <v>53</v>
      </c>
      <c r="I75" t="s">
        <v>1128</v>
      </c>
      <c r="J75">
        <v>60368472</v>
      </c>
      <c r="K75" t="s">
        <v>1129</v>
      </c>
      <c r="O75" t="s">
        <v>1130</v>
      </c>
      <c r="P75" t="s">
        <v>1131</v>
      </c>
      <c r="Q75" t="s">
        <v>374</v>
      </c>
      <c r="R75" t="s">
        <v>252</v>
      </c>
      <c r="S75" t="s">
        <v>1132</v>
      </c>
      <c r="T75">
        <v>84727636</v>
      </c>
      <c r="U75" t="s">
        <v>1133</v>
      </c>
      <c r="W75" t="s">
        <v>88</v>
      </c>
      <c r="AM75" t="s">
        <v>1134</v>
      </c>
      <c r="AN75" t="s">
        <v>1135</v>
      </c>
      <c r="AO75" t="s">
        <v>67</v>
      </c>
      <c r="AP75" t="s">
        <v>67</v>
      </c>
      <c r="AQ75" t="s">
        <v>1136</v>
      </c>
      <c r="AR75" t="s">
        <v>69</v>
      </c>
      <c r="AS75" t="s">
        <v>1137</v>
      </c>
      <c r="AT75" t="s">
        <v>1138</v>
      </c>
      <c r="AU75" t="s">
        <v>1139</v>
      </c>
      <c r="AZ75" t="s">
        <v>212</v>
      </c>
      <c r="BA75" t="s">
        <v>98</v>
      </c>
      <c r="BF75" t="s">
        <v>79</v>
      </c>
    </row>
    <row r="76" spans="1:155" x14ac:dyDescent="0.25">
      <c r="A76" s="6">
        <v>99021663</v>
      </c>
      <c r="B76" t="s">
        <v>1140</v>
      </c>
      <c r="C76" t="s">
        <v>1141</v>
      </c>
      <c r="D76">
        <v>303450541</v>
      </c>
      <c r="E76" t="s">
        <v>52</v>
      </c>
      <c r="F76">
        <v>43</v>
      </c>
      <c r="H76" t="s">
        <v>53</v>
      </c>
      <c r="I76" t="s">
        <v>1142</v>
      </c>
      <c r="J76">
        <v>88526092</v>
      </c>
      <c r="K76" t="s">
        <v>1143</v>
      </c>
      <c r="O76" t="s">
        <v>605</v>
      </c>
      <c r="P76" t="s">
        <v>1144</v>
      </c>
      <c r="S76" t="s">
        <v>1145</v>
      </c>
      <c r="T76">
        <v>27104204</v>
      </c>
      <c r="U76" t="s">
        <v>1146</v>
      </c>
      <c r="V76">
        <v>27104204</v>
      </c>
      <c r="W76" t="s">
        <v>121</v>
      </c>
      <c r="X76" t="s">
        <v>1147</v>
      </c>
      <c r="Y76">
        <v>85546015</v>
      </c>
      <c r="AB76">
        <v>2</v>
      </c>
      <c r="AC76" t="s">
        <v>1148</v>
      </c>
      <c r="AD76" s="1">
        <v>39427</v>
      </c>
      <c r="AE76" t="s">
        <v>1149</v>
      </c>
      <c r="AF76" s="1">
        <v>35653</v>
      </c>
      <c r="AM76" t="s">
        <v>1150</v>
      </c>
      <c r="AN76" t="s">
        <v>1151</v>
      </c>
      <c r="AO76" t="s">
        <v>67</v>
      </c>
      <c r="AP76" t="s">
        <v>229</v>
      </c>
      <c r="AQ76" t="s">
        <v>243</v>
      </c>
      <c r="AR76" t="s">
        <v>69</v>
      </c>
      <c r="AS76" t="s">
        <v>1152</v>
      </c>
      <c r="AT76" t="s">
        <v>1153</v>
      </c>
      <c r="AU76" t="s">
        <v>1154</v>
      </c>
      <c r="AV76" t="s">
        <v>1155</v>
      </c>
      <c r="AW76" t="s">
        <v>825</v>
      </c>
      <c r="AX76" t="s">
        <v>1156</v>
      </c>
      <c r="AY76" t="s">
        <v>692</v>
      </c>
      <c r="AZ76" t="s">
        <v>397</v>
      </c>
      <c r="BA76" t="s">
        <v>98</v>
      </c>
      <c r="BB76" t="s">
        <v>1157</v>
      </c>
      <c r="BC76" t="s">
        <v>115</v>
      </c>
      <c r="BD76" t="s">
        <v>78</v>
      </c>
      <c r="BF76" t="s">
        <v>79</v>
      </c>
    </row>
    <row r="77" spans="1:155" x14ac:dyDescent="0.25">
      <c r="A77" s="6">
        <v>99021419</v>
      </c>
      <c r="B77" t="s">
        <v>1158</v>
      </c>
      <c r="C77" t="s">
        <v>1159</v>
      </c>
      <c r="D77">
        <v>701360346</v>
      </c>
      <c r="E77" t="s">
        <v>52</v>
      </c>
      <c r="F77">
        <v>40</v>
      </c>
      <c r="H77" t="s">
        <v>53</v>
      </c>
      <c r="I77" t="s">
        <v>1160</v>
      </c>
      <c r="J77">
        <v>84122954</v>
      </c>
      <c r="K77" t="s">
        <v>1161</v>
      </c>
      <c r="O77" t="s">
        <v>1162</v>
      </c>
      <c r="P77" t="s">
        <v>1163</v>
      </c>
      <c r="S77" t="s">
        <v>1164</v>
      </c>
      <c r="T77" t="s">
        <v>1165</v>
      </c>
      <c r="U77" t="s">
        <v>1166</v>
      </c>
      <c r="V77">
        <v>27638002</v>
      </c>
      <c r="W77" t="s">
        <v>121</v>
      </c>
      <c r="X77" t="s">
        <v>1167</v>
      </c>
      <c r="Y77">
        <v>61032753</v>
      </c>
      <c r="Z77" t="s">
        <v>1168</v>
      </c>
      <c r="AA77">
        <v>27638002</v>
      </c>
      <c r="AB77">
        <v>2</v>
      </c>
      <c r="AC77" t="s">
        <v>1169</v>
      </c>
      <c r="AE77" t="s">
        <v>1170</v>
      </c>
      <c r="AF77" s="1">
        <v>39735</v>
      </c>
      <c r="AM77" t="s">
        <v>1171</v>
      </c>
      <c r="AN77" t="s">
        <v>1172</v>
      </c>
      <c r="AO77" t="s">
        <v>67</v>
      </c>
      <c r="AP77" t="s">
        <v>229</v>
      </c>
      <c r="AQ77" t="s">
        <v>230</v>
      </c>
      <c r="AR77" t="s">
        <v>69</v>
      </c>
      <c r="AS77" t="s">
        <v>906</v>
      </c>
      <c r="AT77" t="s">
        <v>1173</v>
      </c>
      <c r="AU77" t="s">
        <v>1174</v>
      </c>
      <c r="AV77" t="s">
        <v>1175</v>
      </c>
      <c r="AW77" t="s">
        <v>1176</v>
      </c>
      <c r="AZ77" t="s">
        <v>727</v>
      </c>
      <c r="BA77" t="s">
        <v>98</v>
      </c>
      <c r="BC77" t="s">
        <v>115</v>
      </c>
      <c r="BD77" t="s">
        <v>78</v>
      </c>
      <c r="BF77" t="s">
        <v>367</v>
      </c>
    </row>
    <row r="78" spans="1:155" x14ac:dyDescent="0.25">
      <c r="A78" s="6">
        <v>99022392</v>
      </c>
      <c r="B78" t="s">
        <v>1177</v>
      </c>
      <c r="C78" t="s">
        <v>1178</v>
      </c>
      <c r="D78">
        <v>702500865</v>
      </c>
      <c r="E78" t="s">
        <v>52</v>
      </c>
      <c r="F78">
        <v>23</v>
      </c>
      <c r="H78" t="s">
        <v>53</v>
      </c>
      <c r="I78" t="s">
        <v>1179</v>
      </c>
      <c r="J78">
        <v>85090983</v>
      </c>
      <c r="K78" t="s">
        <v>1180</v>
      </c>
      <c r="O78" t="s">
        <v>1181</v>
      </c>
      <c r="P78" t="s">
        <v>1182</v>
      </c>
      <c r="S78" t="s">
        <v>1183</v>
      </c>
      <c r="U78" t="s">
        <v>1184</v>
      </c>
      <c r="W78" t="s">
        <v>203</v>
      </c>
      <c r="X78" t="s">
        <v>1185</v>
      </c>
      <c r="Y78">
        <v>62386467</v>
      </c>
      <c r="AB78">
        <v>1</v>
      </c>
      <c r="AC78" t="s">
        <v>1186</v>
      </c>
      <c r="AD78" s="1">
        <v>43466</v>
      </c>
      <c r="AM78" t="s">
        <v>1187</v>
      </c>
      <c r="AN78" t="s">
        <v>1188</v>
      </c>
      <c r="AO78" t="s">
        <v>67</v>
      </c>
      <c r="AP78" t="s">
        <v>318</v>
      </c>
      <c r="AQ78" t="s">
        <v>1080</v>
      </c>
      <c r="AR78" t="s">
        <v>69</v>
      </c>
      <c r="AS78" t="s">
        <v>1189</v>
      </c>
      <c r="AT78" t="s">
        <v>1190</v>
      </c>
      <c r="AU78" t="s">
        <v>170</v>
      </c>
      <c r="AV78" t="s">
        <v>1191</v>
      </c>
      <c r="AW78" t="s">
        <v>1192</v>
      </c>
      <c r="AX78" t="s">
        <v>1193</v>
      </c>
      <c r="AY78" t="s">
        <v>1192</v>
      </c>
      <c r="AZ78" t="s">
        <v>727</v>
      </c>
      <c r="BA78" t="s">
        <v>98</v>
      </c>
      <c r="BC78" t="s">
        <v>115</v>
      </c>
      <c r="BF78" t="s">
        <v>367</v>
      </c>
    </row>
    <row r="79" spans="1:155" x14ac:dyDescent="0.25">
      <c r="A79" s="7">
        <v>99021121</v>
      </c>
      <c r="B79" t="s">
        <v>1261</v>
      </c>
      <c r="C79" t="s">
        <v>1242</v>
      </c>
      <c r="D79">
        <v>502840246</v>
      </c>
      <c r="E79" t="s">
        <v>52</v>
      </c>
      <c r="F79">
        <v>46</v>
      </c>
      <c r="H79" t="s">
        <v>53</v>
      </c>
      <c r="I79" t="s">
        <v>1194</v>
      </c>
      <c r="J79">
        <v>60019700</v>
      </c>
      <c r="K79" t="s">
        <v>1195</v>
      </c>
      <c r="O79" t="s">
        <v>482</v>
      </c>
      <c r="U79" t="s">
        <v>1196</v>
      </c>
      <c r="V79">
        <v>61350211</v>
      </c>
      <c r="W79" t="s">
        <v>1197</v>
      </c>
      <c r="AG79" t="s">
        <v>1198</v>
      </c>
      <c r="AH79" s="1">
        <v>38420</v>
      </c>
      <c r="AM79" t="s">
        <v>1199</v>
      </c>
      <c r="AN79" t="s">
        <v>1200</v>
      </c>
      <c r="AO79" t="s">
        <v>317</v>
      </c>
      <c r="AP79" t="s">
        <v>318</v>
      </c>
      <c r="AQ79" t="s">
        <v>319</v>
      </c>
      <c r="AS79" t="s">
        <v>1048</v>
      </c>
      <c r="AV79" t="s">
        <v>1201</v>
      </c>
      <c r="AW79" t="s">
        <v>1202</v>
      </c>
      <c r="AZ79" t="s">
        <v>843</v>
      </c>
      <c r="BA79" t="s">
        <v>77</v>
      </c>
      <c r="BD79" t="s">
        <v>78</v>
      </c>
      <c r="BF79" t="s">
        <v>79</v>
      </c>
    </row>
    <row r="80" spans="1:155" x14ac:dyDescent="0.25">
      <c r="A80" s="6">
        <v>99022446</v>
      </c>
      <c r="B80" t="s">
        <v>1203</v>
      </c>
      <c r="C80" t="s">
        <v>1204</v>
      </c>
      <c r="D80">
        <v>702300850</v>
      </c>
      <c r="E80" t="s">
        <v>52</v>
      </c>
      <c r="F80">
        <v>26</v>
      </c>
      <c r="H80" t="s">
        <v>53</v>
      </c>
      <c r="I80" t="s">
        <v>1205</v>
      </c>
      <c r="J80">
        <v>62427118</v>
      </c>
      <c r="K80" t="s">
        <v>1206</v>
      </c>
      <c r="O80" t="s">
        <v>898</v>
      </c>
      <c r="P80" t="s">
        <v>495</v>
      </c>
      <c r="S80" t="s">
        <v>1207</v>
      </c>
      <c r="T80">
        <v>86515615</v>
      </c>
      <c r="W80" t="s">
        <v>88</v>
      </c>
      <c r="AM80" t="s">
        <v>1208</v>
      </c>
      <c r="AN80" t="s">
        <v>1209</v>
      </c>
      <c r="AO80" t="s">
        <v>67</v>
      </c>
      <c r="AP80" t="s">
        <v>379</v>
      </c>
      <c r="AQ80" t="s">
        <v>448</v>
      </c>
      <c r="AR80" t="s">
        <v>69</v>
      </c>
      <c r="AS80" t="s">
        <v>449</v>
      </c>
      <c r="AT80" t="s">
        <v>824</v>
      </c>
      <c r="AU80" t="s">
        <v>1210</v>
      </c>
      <c r="BA80" t="s">
        <v>98</v>
      </c>
      <c r="BB80" t="s">
        <v>1211</v>
      </c>
      <c r="BF80" t="s">
        <v>79</v>
      </c>
    </row>
    <row r="81" spans="1:162" x14ac:dyDescent="0.25">
      <c r="A81" s="6">
        <v>99022369</v>
      </c>
      <c r="B81" t="s">
        <v>1212</v>
      </c>
      <c r="C81" t="s">
        <v>1213</v>
      </c>
      <c r="D81">
        <v>304370953</v>
      </c>
      <c r="E81" t="s">
        <v>52</v>
      </c>
      <c r="F81">
        <v>31</v>
      </c>
      <c r="H81" t="s">
        <v>53</v>
      </c>
      <c r="I81" t="s">
        <v>1214</v>
      </c>
      <c r="J81">
        <v>84954049</v>
      </c>
      <c r="K81" t="s">
        <v>1215</v>
      </c>
      <c r="O81" t="s">
        <v>468</v>
      </c>
      <c r="P81" t="s">
        <v>1216</v>
      </c>
      <c r="R81" t="s">
        <v>164</v>
      </c>
      <c r="S81" t="s">
        <v>1217</v>
      </c>
      <c r="T81">
        <v>25311636</v>
      </c>
      <c r="U81" t="s">
        <v>1218</v>
      </c>
      <c r="W81" t="s">
        <v>121</v>
      </c>
      <c r="X81" t="s">
        <v>1219</v>
      </c>
      <c r="Y81">
        <v>63432245</v>
      </c>
      <c r="Z81" t="s">
        <v>1220</v>
      </c>
      <c r="AA81">
        <v>25313535</v>
      </c>
      <c r="AB81">
        <v>1</v>
      </c>
      <c r="AC81" t="s">
        <v>1221</v>
      </c>
      <c r="AD81" s="1">
        <v>43284</v>
      </c>
      <c r="AM81" t="s">
        <v>1222</v>
      </c>
      <c r="AN81" t="s">
        <v>1223</v>
      </c>
      <c r="AO81" t="s">
        <v>67</v>
      </c>
      <c r="AP81" t="s">
        <v>379</v>
      </c>
      <c r="AQ81" t="s">
        <v>448</v>
      </c>
      <c r="AR81" t="s">
        <v>69</v>
      </c>
      <c r="AS81" t="s">
        <v>1224</v>
      </c>
      <c r="AT81" t="s">
        <v>1225</v>
      </c>
      <c r="BA81" t="s">
        <v>77</v>
      </c>
      <c r="BD81" t="s">
        <v>78</v>
      </c>
      <c r="BF81" t="s">
        <v>79</v>
      </c>
    </row>
    <row r="82" spans="1:162" x14ac:dyDescent="0.25">
      <c r="A82" s="6">
        <v>99022381</v>
      </c>
      <c r="B82" t="s">
        <v>1260</v>
      </c>
      <c r="C82" t="s">
        <v>1241</v>
      </c>
      <c r="D82">
        <v>702450675</v>
      </c>
      <c r="E82" t="s">
        <v>52</v>
      </c>
      <c r="F82">
        <v>24</v>
      </c>
      <c r="H82" t="s">
        <v>53</v>
      </c>
      <c r="I82" t="s">
        <v>1226</v>
      </c>
      <c r="J82">
        <v>60081917</v>
      </c>
      <c r="K82" t="s">
        <v>1227</v>
      </c>
      <c r="O82" t="s">
        <v>482</v>
      </c>
      <c r="P82" t="s">
        <v>1228</v>
      </c>
      <c r="S82" t="s">
        <v>1229</v>
      </c>
      <c r="T82" t="s">
        <v>1230</v>
      </c>
      <c r="U82" t="s">
        <v>1231</v>
      </c>
      <c r="W82" t="s">
        <v>203</v>
      </c>
      <c r="X82" t="s">
        <v>1232</v>
      </c>
      <c r="Y82">
        <v>83684859</v>
      </c>
      <c r="AB82">
        <v>1</v>
      </c>
      <c r="AC82" t="s">
        <v>1233</v>
      </c>
      <c r="AD82" s="1">
        <v>43754</v>
      </c>
      <c r="AM82" t="s">
        <v>423</v>
      </c>
      <c r="AN82" t="s">
        <v>1234</v>
      </c>
      <c r="AO82" t="s">
        <v>317</v>
      </c>
      <c r="AP82" t="s">
        <v>318</v>
      </c>
      <c r="AQ82" t="s">
        <v>757</v>
      </c>
      <c r="AR82" t="s">
        <v>69</v>
      </c>
      <c r="AS82" t="s">
        <v>771</v>
      </c>
      <c r="AT82" t="s">
        <v>1235</v>
      </c>
      <c r="AU82" t="s">
        <v>1236</v>
      </c>
      <c r="AZ82" t="s">
        <v>1237</v>
      </c>
      <c r="BA82" t="s">
        <v>77</v>
      </c>
      <c r="BD82" t="s">
        <v>78</v>
      </c>
      <c r="BF82" t="s">
        <v>79</v>
      </c>
    </row>
    <row r="83" spans="1:162" x14ac:dyDescent="0.25">
      <c r="A83" s="6" t="s">
        <v>1319</v>
      </c>
      <c r="B83" t="s">
        <v>1322</v>
      </c>
      <c r="C83" t="s">
        <v>1323</v>
      </c>
      <c r="D83">
        <v>701370383</v>
      </c>
      <c r="E83" t="s">
        <v>52</v>
      </c>
      <c r="F83">
        <v>41</v>
      </c>
      <c r="G83" s="1" t="s">
        <v>1321</v>
      </c>
      <c r="H83" t="s">
        <v>53</v>
      </c>
      <c r="I83" t="s">
        <v>1320</v>
      </c>
      <c r="J83">
        <v>86129568</v>
      </c>
      <c r="S83" t="s">
        <v>1333</v>
      </c>
      <c r="T83">
        <v>86922625</v>
      </c>
      <c r="U83" t="s">
        <v>1332</v>
      </c>
      <c r="V83">
        <v>86184218</v>
      </c>
      <c r="W83" t="s">
        <v>60</v>
      </c>
      <c r="X83" t="s">
        <v>1324</v>
      </c>
      <c r="Y83">
        <v>88282318</v>
      </c>
      <c r="AC83" t="s">
        <v>1326</v>
      </c>
      <c r="AD83" s="1" t="s">
        <v>1327</v>
      </c>
      <c r="AE83" t="s">
        <v>1328</v>
      </c>
      <c r="AF83" s="1" t="s">
        <v>1330</v>
      </c>
      <c r="AG83" t="s">
        <v>1329</v>
      </c>
      <c r="AH83" s="1" t="s">
        <v>1331</v>
      </c>
      <c r="BI83" t="s">
        <v>1325</v>
      </c>
      <c r="BJ83">
        <v>83301375</v>
      </c>
      <c r="BK83">
        <v>72814415</v>
      </c>
      <c r="BR83" s="1">
        <v>15895</v>
      </c>
      <c r="BS83" t="s">
        <v>1334</v>
      </c>
      <c r="BT83" t="s">
        <v>1962</v>
      </c>
      <c r="CD83" s="1">
        <v>25538</v>
      </c>
      <c r="CI83" t="s">
        <v>230</v>
      </c>
      <c r="CJ83" t="s">
        <v>1422</v>
      </c>
      <c r="CK83" t="s">
        <v>1337</v>
      </c>
      <c r="CL83" t="s">
        <v>1423</v>
      </c>
      <c r="CM83" t="s">
        <v>1424</v>
      </c>
      <c r="CN83" t="s">
        <v>1425</v>
      </c>
      <c r="DB83" s="8" t="s">
        <v>1974</v>
      </c>
      <c r="DC83" s="8" t="s">
        <v>1975</v>
      </c>
      <c r="DL83" s="1">
        <v>37431</v>
      </c>
      <c r="DM83" s="1">
        <v>37623</v>
      </c>
      <c r="DV83" s="1">
        <v>37623</v>
      </c>
      <c r="DW83" s="1">
        <v>37797</v>
      </c>
      <c r="EP83">
        <v>78</v>
      </c>
      <c r="EQ83">
        <v>71</v>
      </c>
      <c r="ER83">
        <v>39</v>
      </c>
      <c r="ES83">
        <v>17</v>
      </c>
      <c r="ET83">
        <v>14</v>
      </c>
      <c r="EU83">
        <v>4</v>
      </c>
      <c r="EY83">
        <v>51</v>
      </c>
    </row>
    <row r="84" spans="1:162" x14ac:dyDescent="0.25">
      <c r="A84" s="6">
        <v>111</v>
      </c>
      <c r="B84" t="s">
        <v>1360</v>
      </c>
      <c r="C84" t="s">
        <v>1361</v>
      </c>
      <c r="D84">
        <v>703060515</v>
      </c>
      <c r="E84" t="s">
        <v>52</v>
      </c>
      <c r="F84">
        <v>20</v>
      </c>
      <c r="G84" s="1" t="s">
        <v>1426</v>
      </c>
      <c r="H84" t="s">
        <v>53</v>
      </c>
      <c r="I84" t="s">
        <v>1362</v>
      </c>
      <c r="J84">
        <v>83301375</v>
      </c>
      <c r="W84" t="s">
        <v>88</v>
      </c>
      <c r="DB84" s="8" t="s">
        <v>1832</v>
      </c>
      <c r="DL84" s="1">
        <v>43952</v>
      </c>
      <c r="DV84" s="1">
        <v>44105</v>
      </c>
      <c r="FD84" s="1">
        <v>44877</v>
      </c>
      <c r="FE84">
        <v>55556</v>
      </c>
      <c r="FF84" t="s">
        <v>2226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3"/>
  <sheetViews>
    <sheetView workbookViewId="0">
      <selection activeCell="B2" sqref="B2"/>
    </sheetView>
  </sheetViews>
  <sheetFormatPr baseColWidth="10" defaultRowHeight="15" x14ac:dyDescent="0.25"/>
  <cols>
    <col min="2" max="2" width="11.85546875" bestFit="1" customWidth="1"/>
    <col min="5" max="5" width="13.7109375" customWidth="1"/>
  </cols>
  <sheetData>
    <row r="1" spans="1:11" x14ac:dyDescent="0.25">
      <c r="A1" t="s">
        <v>1290</v>
      </c>
      <c r="B1" t="s">
        <v>1291</v>
      </c>
      <c r="C1" t="s">
        <v>1292</v>
      </c>
      <c r="D1" t="s">
        <v>1358</v>
      </c>
      <c r="E1" t="s">
        <v>1418</v>
      </c>
      <c r="F1" t="s">
        <v>1421</v>
      </c>
      <c r="G1" t="s">
        <v>1419</v>
      </c>
      <c r="I1" t="s">
        <v>1420</v>
      </c>
      <c r="J1" t="s">
        <v>1427</v>
      </c>
      <c r="K1" t="s">
        <v>1428</v>
      </c>
    </row>
    <row r="2" spans="1:11" x14ac:dyDescent="0.25">
      <c r="A2" s="1">
        <v>32966</v>
      </c>
      <c r="B2" s="1">
        <f ca="1">TODAY()</f>
        <v>44300</v>
      </c>
      <c r="C2">
        <f ca="1">B2-A2</f>
        <v>11334</v>
      </c>
      <c r="D2" s="8">
        <f ca="1">C2/365</f>
        <v>31.052054794520547</v>
      </c>
      <c r="E2" s="1">
        <v>43952</v>
      </c>
      <c r="F2" s="1">
        <v>44105</v>
      </c>
      <c r="G2">
        <f>F2-E2</f>
        <v>153</v>
      </c>
      <c r="H2" s="1"/>
      <c r="I2">
        <f ca="1">B2-E2</f>
        <v>348</v>
      </c>
      <c r="J2" s="1">
        <v>43840</v>
      </c>
      <c r="K2" s="1">
        <v>43841</v>
      </c>
    </row>
    <row r="3" spans="1:11" x14ac:dyDescent="0.25">
      <c r="B3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159"/>
  <sheetViews>
    <sheetView topLeftCell="G1" workbookViewId="0">
      <selection activeCell="K2" sqref="K2:K4"/>
    </sheetView>
  </sheetViews>
  <sheetFormatPr baseColWidth="10" defaultRowHeight="15" x14ac:dyDescent="0.25"/>
  <cols>
    <col min="1" max="1" width="25" customWidth="1"/>
    <col min="2" max="2" width="41.42578125" bestFit="1" customWidth="1"/>
    <col min="3" max="3" width="35" bestFit="1" customWidth="1"/>
    <col min="4" max="4" width="30" bestFit="1" customWidth="1"/>
    <col min="5" max="5" width="34" bestFit="1" customWidth="1"/>
    <col min="6" max="6" width="17.28515625" bestFit="1" customWidth="1"/>
    <col min="7" max="7" width="33.85546875" customWidth="1"/>
    <col min="8" max="8" width="33.42578125" customWidth="1"/>
    <col min="9" max="9" width="21.85546875" customWidth="1"/>
    <col min="10" max="10" width="35.5703125" bestFit="1" customWidth="1"/>
    <col min="11" max="11" width="18.5703125" bestFit="1" customWidth="1"/>
    <col min="12" max="12" width="14.7109375" bestFit="1" customWidth="1"/>
  </cols>
  <sheetData>
    <row r="1" spans="1:13" x14ac:dyDescent="0.25">
      <c r="A1" s="10" t="s">
        <v>1335</v>
      </c>
      <c r="B1" s="10" t="s">
        <v>1363</v>
      </c>
      <c r="C1" s="10" t="s">
        <v>2181</v>
      </c>
      <c r="D1" s="10" t="s">
        <v>2182</v>
      </c>
      <c r="E1" s="10" t="s">
        <v>2192</v>
      </c>
      <c r="F1" s="10" t="s">
        <v>2190</v>
      </c>
      <c r="G1" s="10" t="s">
        <v>2197</v>
      </c>
      <c r="H1" s="10" t="s">
        <v>2193</v>
      </c>
      <c r="I1" s="10" t="s">
        <v>2189</v>
      </c>
      <c r="J1" s="10" t="s">
        <v>2207</v>
      </c>
      <c r="K1" s="10" t="s">
        <v>2209</v>
      </c>
      <c r="L1" s="10" t="s">
        <v>2208</v>
      </c>
      <c r="M1" s="10"/>
    </row>
    <row r="2" spans="1:13" x14ac:dyDescent="0.25">
      <c r="A2" t="s">
        <v>1336</v>
      </c>
      <c r="B2" s="13" t="s">
        <v>1832</v>
      </c>
      <c r="C2" s="14" t="s">
        <v>1456</v>
      </c>
      <c r="D2" s="14" t="s">
        <v>1457</v>
      </c>
      <c r="E2" s="14" t="s">
        <v>1830</v>
      </c>
      <c r="F2" s="16" t="s">
        <v>2195</v>
      </c>
      <c r="G2">
        <v>1</v>
      </c>
      <c r="H2" t="s">
        <v>1830</v>
      </c>
      <c r="I2">
        <v>99018533</v>
      </c>
      <c r="J2" t="s">
        <v>1926</v>
      </c>
      <c r="K2" t="s">
        <v>2215</v>
      </c>
      <c r="L2">
        <v>1</v>
      </c>
    </row>
    <row r="3" spans="1:13" x14ac:dyDescent="0.25">
      <c r="A3" t="s">
        <v>1337</v>
      </c>
      <c r="B3" s="12" t="s">
        <v>1722</v>
      </c>
      <c r="C3" s="15" t="s">
        <v>1466</v>
      </c>
      <c r="D3" s="15" t="s">
        <v>319</v>
      </c>
      <c r="E3" s="15" t="s">
        <v>1840</v>
      </c>
      <c r="F3" s="17" t="s">
        <v>2196</v>
      </c>
      <c r="H3" t="s">
        <v>1772</v>
      </c>
      <c r="I3">
        <v>99022204</v>
      </c>
      <c r="J3" t="s">
        <v>2218</v>
      </c>
      <c r="K3" t="s">
        <v>2219</v>
      </c>
      <c r="L3">
        <v>1</v>
      </c>
    </row>
    <row r="4" spans="1:13" x14ac:dyDescent="0.25">
      <c r="A4" t="s">
        <v>1338</v>
      </c>
      <c r="B4" s="13" t="s">
        <v>1883</v>
      </c>
      <c r="C4" s="14" t="s">
        <v>1603</v>
      </c>
      <c r="D4" s="14" t="s">
        <v>1457</v>
      </c>
      <c r="E4" s="14" t="s">
        <v>1882</v>
      </c>
      <c r="H4" t="s">
        <v>1953</v>
      </c>
      <c r="I4">
        <v>99021622</v>
      </c>
    </row>
    <row r="5" spans="1:13" x14ac:dyDescent="0.25">
      <c r="A5" t="s">
        <v>1339</v>
      </c>
      <c r="B5" s="12" t="s">
        <v>1639</v>
      </c>
      <c r="C5" s="15" t="s">
        <v>1531</v>
      </c>
      <c r="D5" s="15" t="s">
        <v>1512</v>
      </c>
      <c r="E5" s="15" t="s">
        <v>1637</v>
      </c>
    </row>
    <row r="6" spans="1:13" x14ac:dyDescent="0.25">
      <c r="A6" t="s">
        <v>230</v>
      </c>
      <c r="B6" s="13" t="s">
        <v>1644</v>
      </c>
      <c r="C6" s="14" t="s">
        <v>1643</v>
      </c>
      <c r="D6" s="14" t="s">
        <v>1449</v>
      </c>
      <c r="E6" s="14" t="s">
        <v>1641</v>
      </c>
    </row>
    <row r="7" spans="1:13" x14ac:dyDescent="0.25">
      <c r="A7" t="s">
        <v>2180</v>
      </c>
      <c r="B7" s="12" t="s">
        <v>1767</v>
      </c>
      <c r="C7" s="15" t="s">
        <v>1516</v>
      </c>
      <c r="D7" s="14" t="s">
        <v>68</v>
      </c>
      <c r="E7" s="15" t="s">
        <v>1514</v>
      </c>
    </row>
    <row r="8" spans="1:13" x14ac:dyDescent="0.25">
      <c r="B8" s="13" t="s">
        <v>1900</v>
      </c>
      <c r="C8" s="14" t="s">
        <v>1587</v>
      </c>
      <c r="D8" s="14" t="s">
        <v>1593</v>
      </c>
      <c r="E8" s="14" t="s">
        <v>1899</v>
      </c>
    </row>
    <row r="9" spans="1:13" x14ac:dyDescent="0.25">
      <c r="B9" s="12" t="s">
        <v>1800</v>
      </c>
      <c r="C9" s="15" t="s">
        <v>1799</v>
      </c>
      <c r="D9" s="14" t="s">
        <v>1609</v>
      </c>
      <c r="E9" s="15" t="s">
        <v>1797</v>
      </c>
    </row>
    <row r="10" spans="1:13" x14ac:dyDescent="0.25">
      <c r="B10" s="13" t="s">
        <v>1532</v>
      </c>
      <c r="C10" s="15" t="s">
        <v>1448</v>
      </c>
      <c r="D10" s="14" t="s">
        <v>689</v>
      </c>
      <c r="E10" s="14" t="s">
        <v>1926</v>
      </c>
    </row>
    <row r="11" spans="1:13" x14ac:dyDescent="0.25">
      <c r="B11" s="12" t="s">
        <v>185</v>
      </c>
      <c r="C11" s="15" t="s">
        <v>1456</v>
      </c>
      <c r="D11" s="14" t="s">
        <v>1494</v>
      </c>
      <c r="E11" s="15" t="s">
        <v>1964</v>
      </c>
    </row>
    <row r="12" spans="1:13" x14ac:dyDescent="0.25">
      <c r="B12" s="13" t="s">
        <v>1791</v>
      </c>
      <c r="C12" s="14" t="s">
        <v>1582</v>
      </c>
      <c r="D12" s="15" t="s">
        <v>1441</v>
      </c>
      <c r="E12" s="14" t="s">
        <v>1790</v>
      </c>
    </row>
    <row r="13" spans="1:13" x14ac:dyDescent="0.25">
      <c r="B13" s="13" t="s">
        <v>1691</v>
      </c>
      <c r="C13" s="14" t="s">
        <v>1592</v>
      </c>
      <c r="D13" s="14" t="s">
        <v>183</v>
      </c>
      <c r="E13" s="15" t="s">
        <v>1837</v>
      </c>
    </row>
    <row r="14" spans="1:13" x14ac:dyDescent="0.25">
      <c r="B14" s="12" t="s">
        <v>1470</v>
      </c>
      <c r="C14" s="14" t="s">
        <v>1852</v>
      </c>
      <c r="D14" s="14" t="s">
        <v>757</v>
      </c>
      <c r="E14" s="14" t="s">
        <v>1915</v>
      </c>
    </row>
    <row r="15" spans="1:13" x14ac:dyDescent="0.25">
      <c r="B15" s="13" t="s">
        <v>286</v>
      </c>
      <c r="C15" s="15" t="s">
        <v>1511</v>
      </c>
      <c r="D15" s="15" t="s">
        <v>1080</v>
      </c>
      <c r="E15" s="15" t="s">
        <v>1888</v>
      </c>
    </row>
    <row r="16" spans="1:13" x14ac:dyDescent="0.25">
      <c r="B16" s="12" t="s">
        <v>1886</v>
      </c>
      <c r="C16" s="14" t="s">
        <v>1608</v>
      </c>
      <c r="E16" s="14" t="s">
        <v>1817</v>
      </c>
    </row>
    <row r="17" spans="2:7" x14ac:dyDescent="0.25">
      <c r="B17" s="13" t="s">
        <v>1684</v>
      </c>
      <c r="C17" s="14" t="s">
        <v>1493</v>
      </c>
      <c r="E17" s="15" t="s">
        <v>1885</v>
      </c>
    </row>
    <row r="18" spans="2:7" x14ac:dyDescent="0.25">
      <c r="B18" s="13" t="s">
        <v>1853</v>
      </c>
      <c r="C18" s="14" t="s">
        <v>1570</v>
      </c>
      <c r="E18" s="14" t="s">
        <v>1834</v>
      </c>
    </row>
    <row r="19" spans="2:7" x14ac:dyDescent="0.25">
      <c r="B19" s="12" t="s">
        <v>1450</v>
      </c>
      <c r="C19" s="14" t="s">
        <v>1622</v>
      </c>
      <c r="E19" s="15" t="s">
        <v>1720</v>
      </c>
    </row>
    <row r="20" spans="2:7" x14ac:dyDescent="0.25">
      <c r="B20" s="13" t="s">
        <v>1829</v>
      </c>
      <c r="C20" s="14" t="s">
        <v>1504</v>
      </c>
      <c r="E20" s="14" t="s">
        <v>1948</v>
      </c>
    </row>
    <row r="21" spans="2:7" x14ac:dyDescent="0.25">
      <c r="B21" s="12" t="s">
        <v>1668</v>
      </c>
      <c r="C21" s="14" t="s">
        <v>1541</v>
      </c>
      <c r="E21" s="15" t="s">
        <v>1446</v>
      </c>
    </row>
    <row r="22" spans="2:7" x14ac:dyDescent="0.25">
      <c r="B22" s="13" t="s">
        <v>1610</v>
      </c>
      <c r="C22" s="15" t="s">
        <v>1652</v>
      </c>
      <c r="E22" s="14" t="s">
        <v>1827</v>
      </c>
    </row>
    <row r="23" spans="2:7" x14ac:dyDescent="0.25">
      <c r="B23" s="12" t="s">
        <v>1780</v>
      </c>
      <c r="C23" s="15" t="s">
        <v>1440</v>
      </c>
      <c r="E23" s="15" t="s">
        <v>1666</v>
      </c>
    </row>
    <row r="24" spans="2:7" x14ac:dyDescent="0.25">
      <c r="B24" s="13" t="s">
        <v>1864</v>
      </c>
      <c r="C24" s="14" t="s">
        <v>1648</v>
      </c>
      <c r="E24" s="14" t="s">
        <v>1902</v>
      </c>
    </row>
    <row r="25" spans="2:7" x14ac:dyDescent="0.25">
      <c r="B25" s="12" t="s">
        <v>1627</v>
      </c>
      <c r="C25" s="15" t="s">
        <v>1486</v>
      </c>
      <c r="E25" s="15" t="s">
        <v>1778</v>
      </c>
    </row>
    <row r="26" spans="2:7" x14ac:dyDescent="0.25">
      <c r="B26" s="13" t="s">
        <v>1571</v>
      </c>
      <c r="C26" s="14" t="s">
        <v>1499</v>
      </c>
      <c r="E26" s="14" t="s">
        <v>1862</v>
      </c>
    </row>
    <row r="27" spans="2:7" x14ac:dyDescent="0.25">
      <c r="B27" s="13" t="s">
        <v>1604</v>
      </c>
      <c r="C27" s="15" t="s">
        <v>1909</v>
      </c>
      <c r="E27" s="15" t="s">
        <v>1625</v>
      </c>
    </row>
    <row r="28" spans="2:7" x14ac:dyDescent="0.25">
      <c r="B28" s="12" t="s">
        <v>1631</v>
      </c>
      <c r="C28" s="14" t="s">
        <v>1808</v>
      </c>
      <c r="E28" s="14" t="s">
        <v>1569</v>
      </c>
      <c r="G28">
        <v>1</v>
      </c>
    </row>
    <row r="29" spans="2:7" x14ac:dyDescent="0.25">
      <c r="B29" s="13" t="s">
        <v>1623</v>
      </c>
      <c r="C29" s="14" t="s">
        <v>1701</v>
      </c>
      <c r="E29" s="15" t="s">
        <v>1689</v>
      </c>
    </row>
    <row r="30" spans="2:7" x14ac:dyDescent="0.25">
      <c r="B30" s="12" t="s">
        <v>1594</v>
      </c>
      <c r="C30" s="14" t="s">
        <v>1461</v>
      </c>
      <c r="E30" s="14" t="s">
        <v>1601</v>
      </c>
    </row>
    <row r="31" spans="2:7" x14ac:dyDescent="0.25">
      <c r="B31" s="12" t="s">
        <v>1635</v>
      </c>
      <c r="C31" s="14" t="s">
        <v>1536</v>
      </c>
      <c r="E31" s="15" t="s">
        <v>1629</v>
      </c>
      <c r="G31">
        <v>1</v>
      </c>
    </row>
    <row r="32" spans="2:7" x14ac:dyDescent="0.25">
      <c r="B32" s="13" t="s">
        <v>1524</v>
      </c>
      <c r="C32" s="15" t="s">
        <v>1824</v>
      </c>
      <c r="E32" s="14" t="s">
        <v>1621</v>
      </c>
    </row>
    <row r="33" spans="2:7" x14ac:dyDescent="0.25">
      <c r="B33" s="13" t="s">
        <v>1751</v>
      </c>
      <c r="C33" s="15" t="s">
        <v>1738</v>
      </c>
      <c r="E33" s="15" t="s">
        <v>1596</v>
      </c>
    </row>
    <row r="34" spans="2:7" x14ac:dyDescent="0.25">
      <c r="B34" s="12" t="s">
        <v>1795</v>
      </c>
      <c r="E34" s="14" t="s">
        <v>1953</v>
      </c>
      <c r="G34">
        <v>1</v>
      </c>
    </row>
    <row r="35" spans="2:7" x14ac:dyDescent="0.25">
      <c r="B35" s="13" t="s">
        <v>1676</v>
      </c>
      <c r="E35" s="15" t="s">
        <v>1633</v>
      </c>
    </row>
    <row r="36" spans="2:7" x14ac:dyDescent="0.25">
      <c r="B36" s="12" t="s">
        <v>1897</v>
      </c>
      <c r="E36" s="14" t="s">
        <v>1522</v>
      </c>
    </row>
    <row r="37" spans="2:7" x14ac:dyDescent="0.25">
      <c r="B37" s="13" t="s">
        <v>1537</v>
      </c>
      <c r="E37" s="15" t="s">
        <v>1741</v>
      </c>
    </row>
    <row r="38" spans="2:7" x14ac:dyDescent="0.25">
      <c r="B38" s="12" t="s">
        <v>1764</v>
      </c>
      <c r="E38" s="14" t="s">
        <v>1749</v>
      </c>
    </row>
    <row r="39" spans="2:7" x14ac:dyDescent="0.25">
      <c r="B39" s="12" t="s">
        <v>1844</v>
      </c>
      <c r="E39" s="15" t="s">
        <v>1793</v>
      </c>
    </row>
    <row r="40" spans="2:7" x14ac:dyDescent="0.25">
      <c r="B40" s="12" t="s">
        <v>1664</v>
      </c>
      <c r="E40" s="14" t="s">
        <v>1510</v>
      </c>
    </row>
    <row r="41" spans="2:7" x14ac:dyDescent="0.25">
      <c r="B41" s="12" t="s">
        <v>1442</v>
      </c>
      <c r="E41" s="15" t="s">
        <v>1452</v>
      </c>
    </row>
    <row r="42" spans="2:7" x14ac:dyDescent="0.25">
      <c r="B42" s="13" t="s">
        <v>1653</v>
      </c>
      <c r="E42" s="14" t="s">
        <v>1680</v>
      </c>
    </row>
    <row r="43" spans="2:7" x14ac:dyDescent="0.25">
      <c r="B43" s="12" t="s">
        <v>1106</v>
      </c>
      <c r="E43" s="15" t="s">
        <v>1896</v>
      </c>
    </row>
    <row r="44" spans="2:7" x14ac:dyDescent="0.25">
      <c r="B44" s="12" t="s">
        <v>1872</v>
      </c>
      <c r="E44" s="14" t="s">
        <v>1743</v>
      </c>
    </row>
    <row r="45" spans="2:7" x14ac:dyDescent="0.25">
      <c r="B45" s="13" t="s">
        <v>1576</v>
      </c>
      <c r="E45" s="15" t="s">
        <v>1678</v>
      </c>
    </row>
    <row r="46" spans="2:7" x14ac:dyDescent="0.25">
      <c r="B46" s="12" t="s">
        <v>1697</v>
      </c>
      <c r="E46" s="14" t="s">
        <v>1539</v>
      </c>
    </row>
    <row r="47" spans="2:7" x14ac:dyDescent="0.25">
      <c r="B47" s="13" t="s">
        <v>1716</v>
      </c>
      <c r="E47" s="15" t="s">
        <v>1762</v>
      </c>
    </row>
    <row r="48" spans="2:7" x14ac:dyDescent="0.25">
      <c r="B48" s="12" t="s">
        <v>1868</v>
      </c>
      <c r="E48" s="14" t="s">
        <v>1850</v>
      </c>
    </row>
    <row r="49" spans="2:7" x14ac:dyDescent="0.25">
      <c r="B49" s="13" t="s">
        <v>1649</v>
      </c>
      <c r="E49" s="15" t="s">
        <v>1842</v>
      </c>
      <c r="G49">
        <v>1</v>
      </c>
    </row>
    <row r="50" spans="2:7" x14ac:dyDescent="0.25">
      <c r="B50" s="12" t="s">
        <v>1508</v>
      </c>
      <c r="E50" s="14" t="s">
        <v>1590</v>
      </c>
    </row>
    <row r="51" spans="2:7" x14ac:dyDescent="0.25">
      <c r="B51" s="12" t="s">
        <v>1784</v>
      </c>
      <c r="E51" s="15" t="s">
        <v>1662</v>
      </c>
    </row>
    <row r="52" spans="2:7" x14ac:dyDescent="0.25">
      <c r="B52" s="12" t="s">
        <v>1910</v>
      </c>
      <c r="E52" s="14" t="s">
        <v>1945</v>
      </c>
      <c r="G52">
        <v>1</v>
      </c>
    </row>
    <row r="53" spans="2:7" x14ac:dyDescent="0.25">
      <c r="B53" s="13" t="s">
        <v>1487</v>
      </c>
      <c r="E53" s="15" t="s">
        <v>1444</v>
      </c>
    </row>
    <row r="54" spans="2:7" x14ac:dyDescent="0.25">
      <c r="B54" s="12" t="s">
        <v>1804</v>
      </c>
      <c r="E54" s="14" t="s">
        <v>758</v>
      </c>
    </row>
    <row r="55" spans="2:7" x14ac:dyDescent="0.25">
      <c r="B55" s="13" t="s">
        <v>1809</v>
      </c>
      <c r="E55" s="15" t="s">
        <v>1772</v>
      </c>
      <c r="G55">
        <v>1</v>
      </c>
    </row>
    <row r="56" spans="2:7" x14ac:dyDescent="0.25">
      <c r="B56" s="12" t="s">
        <v>1660</v>
      </c>
      <c r="E56" s="14" t="s">
        <v>1956</v>
      </c>
    </row>
    <row r="57" spans="2:7" x14ac:dyDescent="0.25">
      <c r="B57" s="12" t="s">
        <v>1474</v>
      </c>
      <c r="E57" s="15" t="s">
        <v>1870</v>
      </c>
    </row>
    <row r="58" spans="2:7" x14ac:dyDescent="0.25">
      <c r="B58" s="13" t="s">
        <v>1527</v>
      </c>
      <c r="E58" s="14" t="s">
        <v>1578</v>
      </c>
    </row>
    <row r="59" spans="2:7" x14ac:dyDescent="0.25">
      <c r="B59" s="12" t="s">
        <v>1617</v>
      </c>
      <c r="E59" s="15" t="s">
        <v>1942</v>
      </c>
    </row>
    <row r="60" spans="2:7" x14ac:dyDescent="0.25">
      <c r="B60" s="12" t="s">
        <v>1812</v>
      </c>
      <c r="E60" s="14" t="s">
        <v>1575</v>
      </c>
    </row>
    <row r="61" spans="2:7" x14ac:dyDescent="0.25">
      <c r="B61" s="12" t="s">
        <v>1747</v>
      </c>
      <c r="E61" s="15" t="s">
        <v>1612</v>
      </c>
    </row>
    <row r="62" spans="2:7" x14ac:dyDescent="0.25">
      <c r="B62" s="13" t="s">
        <v>1500</v>
      </c>
      <c r="E62" s="14" t="s">
        <v>1718</v>
      </c>
    </row>
    <row r="63" spans="2:7" x14ac:dyDescent="0.25">
      <c r="B63" s="13" t="s">
        <v>1495</v>
      </c>
      <c r="E63" s="15" t="s">
        <v>1866</v>
      </c>
    </row>
    <row r="64" spans="2:7" x14ac:dyDescent="0.25">
      <c r="B64" s="13" t="s">
        <v>1562</v>
      </c>
      <c r="E64" s="14" t="s">
        <v>1646</v>
      </c>
    </row>
    <row r="65" spans="2:5" x14ac:dyDescent="0.25">
      <c r="B65" s="12" t="s">
        <v>1788</v>
      </c>
      <c r="E65" s="15" t="s">
        <v>1506</v>
      </c>
    </row>
    <row r="66" spans="2:5" x14ac:dyDescent="0.25">
      <c r="B66" s="12" t="s">
        <v>1588</v>
      </c>
      <c r="E66" s="14" t="s">
        <v>1703</v>
      </c>
    </row>
    <row r="67" spans="2:5" x14ac:dyDescent="0.25">
      <c r="B67" s="13" t="s">
        <v>1857</v>
      </c>
      <c r="E67" s="15" t="s">
        <v>1782</v>
      </c>
    </row>
    <row r="68" spans="2:5" x14ac:dyDescent="0.25">
      <c r="B68" s="13" t="s">
        <v>1734</v>
      </c>
      <c r="E68" s="14" t="s">
        <v>1712</v>
      </c>
    </row>
    <row r="69" spans="2:5" x14ac:dyDescent="0.25">
      <c r="B69" s="12" t="s">
        <v>1754</v>
      </c>
      <c r="E69" s="15" t="s">
        <v>1907</v>
      </c>
    </row>
    <row r="70" spans="2:5" x14ac:dyDescent="0.25">
      <c r="B70" s="13" t="s">
        <v>1583</v>
      </c>
      <c r="E70" s="14" t="s">
        <v>1489</v>
      </c>
    </row>
    <row r="71" spans="2:5" x14ac:dyDescent="0.25">
      <c r="B71" s="12" t="s">
        <v>1894</v>
      </c>
      <c r="E71" s="15" t="s">
        <v>1802</v>
      </c>
    </row>
    <row r="72" spans="2:5" x14ac:dyDescent="0.25">
      <c r="B72" s="12" t="s">
        <v>1544</v>
      </c>
      <c r="E72" s="14" t="s">
        <v>1695</v>
      </c>
    </row>
    <row r="73" spans="2:5" x14ac:dyDescent="0.25">
      <c r="B73" s="13" t="s">
        <v>1462</v>
      </c>
      <c r="E73" s="15" t="s">
        <v>1529</v>
      </c>
    </row>
    <row r="74" spans="2:5" x14ac:dyDescent="0.25">
      <c r="B74" s="12" t="s">
        <v>1520</v>
      </c>
      <c r="E74" s="14" t="s">
        <v>1806</v>
      </c>
    </row>
    <row r="75" spans="2:5" x14ac:dyDescent="0.25">
      <c r="B75" s="13" t="s">
        <v>1458</v>
      </c>
      <c r="E75" s="15" t="s">
        <v>1658</v>
      </c>
    </row>
    <row r="76" spans="2:5" x14ac:dyDescent="0.25">
      <c r="B76" s="12" t="s">
        <v>1770</v>
      </c>
      <c r="E76" s="14" t="s">
        <v>1606</v>
      </c>
    </row>
    <row r="77" spans="2:5" x14ac:dyDescent="0.25">
      <c r="B77" s="12" t="s">
        <v>1656</v>
      </c>
      <c r="E77" s="15" t="s">
        <v>1472</v>
      </c>
    </row>
    <row r="78" spans="2:5" x14ac:dyDescent="0.25">
      <c r="B78" s="12" t="s">
        <v>1825</v>
      </c>
      <c r="E78" s="14" t="s">
        <v>1904</v>
      </c>
    </row>
    <row r="79" spans="2:5" x14ac:dyDescent="0.25">
      <c r="B79" s="12" t="s">
        <v>1776</v>
      </c>
      <c r="E79" s="15" t="s">
        <v>1935</v>
      </c>
    </row>
    <row r="80" spans="2:5" x14ac:dyDescent="0.25">
      <c r="B80" s="13" t="s">
        <v>1970</v>
      </c>
      <c r="E80" s="14" t="s">
        <v>1709</v>
      </c>
    </row>
    <row r="81" spans="2:5" x14ac:dyDescent="0.25">
      <c r="B81" s="12" t="s">
        <v>1739</v>
      </c>
      <c r="E81" s="15" t="s">
        <v>1811</v>
      </c>
    </row>
    <row r="82" spans="2:5" x14ac:dyDescent="0.25">
      <c r="E82" s="14" t="s">
        <v>1699</v>
      </c>
    </row>
    <row r="83" spans="2:5" x14ac:dyDescent="0.25">
      <c r="E83" s="15" t="s">
        <v>1932</v>
      </c>
    </row>
    <row r="84" spans="2:5" x14ac:dyDescent="0.25">
      <c r="E84" s="14" t="s">
        <v>1468</v>
      </c>
    </row>
    <row r="85" spans="2:5" x14ac:dyDescent="0.25">
      <c r="E85" s="15" t="s">
        <v>1482</v>
      </c>
    </row>
    <row r="86" spans="2:5" x14ac:dyDescent="0.25">
      <c r="E86" s="14" t="s">
        <v>1959</v>
      </c>
    </row>
    <row r="87" spans="2:5" x14ac:dyDescent="0.25">
      <c r="E87" s="15" t="s">
        <v>1746</v>
      </c>
    </row>
    <row r="88" spans="2:5" x14ac:dyDescent="0.25">
      <c r="E88" s="14" t="s">
        <v>1929</v>
      </c>
    </row>
    <row r="89" spans="2:5" x14ac:dyDescent="0.25">
      <c r="E89" s="15" t="s">
        <v>1615</v>
      </c>
    </row>
    <row r="90" spans="2:5" x14ac:dyDescent="0.25">
      <c r="E90" s="14" t="s">
        <v>1874</v>
      </c>
    </row>
    <row r="91" spans="2:5" x14ac:dyDescent="0.25">
      <c r="E91" s="15" t="s">
        <v>1484</v>
      </c>
    </row>
    <row r="92" spans="2:5" x14ac:dyDescent="0.25">
      <c r="E92" s="14" t="s">
        <v>1492</v>
      </c>
    </row>
    <row r="93" spans="2:5" x14ac:dyDescent="0.25">
      <c r="E93" s="15" t="s">
        <v>1859</v>
      </c>
    </row>
    <row r="94" spans="2:5" x14ac:dyDescent="0.25">
      <c r="E94" s="14" t="s">
        <v>1564</v>
      </c>
    </row>
    <row r="95" spans="2:5" x14ac:dyDescent="0.25">
      <c r="E95" s="15" t="s">
        <v>1786</v>
      </c>
    </row>
    <row r="96" spans="2:5" x14ac:dyDescent="0.25">
      <c r="E96" s="14" t="s">
        <v>1675</v>
      </c>
    </row>
    <row r="97" spans="5:5" x14ac:dyDescent="0.25">
      <c r="E97" s="15" t="s">
        <v>1585</v>
      </c>
    </row>
    <row r="98" spans="5:5" x14ac:dyDescent="0.25">
      <c r="E98" s="14" t="s">
        <v>1855</v>
      </c>
    </row>
    <row r="99" spans="5:5" x14ac:dyDescent="0.25">
      <c r="E99" s="15" t="s">
        <v>1951</v>
      </c>
    </row>
    <row r="100" spans="5:5" x14ac:dyDescent="0.25">
      <c r="E100" s="14" t="s">
        <v>1534</v>
      </c>
    </row>
    <row r="101" spans="5:5" x14ac:dyDescent="0.25">
      <c r="E101" s="15" t="s">
        <v>1730</v>
      </c>
    </row>
    <row r="102" spans="5:5" x14ac:dyDescent="0.25">
      <c r="E102" s="14" t="s">
        <v>1724</v>
      </c>
    </row>
    <row r="103" spans="5:5" x14ac:dyDescent="0.25">
      <c r="E103" s="15" t="s">
        <v>1566</v>
      </c>
    </row>
    <row r="104" spans="5:5" x14ac:dyDescent="0.25">
      <c r="E104" s="14" t="s">
        <v>1814</v>
      </c>
    </row>
    <row r="105" spans="5:5" x14ac:dyDescent="0.25">
      <c r="E105" s="15" t="s">
        <v>1715</v>
      </c>
    </row>
    <row r="106" spans="5:5" x14ac:dyDescent="0.25">
      <c r="E106" s="14" t="s">
        <v>1732</v>
      </c>
    </row>
    <row r="107" spans="5:5" x14ac:dyDescent="0.25">
      <c r="E107" s="15" t="s">
        <v>1756</v>
      </c>
    </row>
    <row r="108" spans="5:5" x14ac:dyDescent="0.25">
      <c r="E108" s="14" t="s">
        <v>1846</v>
      </c>
    </row>
    <row r="109" spans="5:5" x14ac:dyDescent="0.25">
      <c r="E109" s="15" t="s">
        <v>1880</v>
      </c>
    </row>
    <row r="110" spans="5:5" x14ac:dyDescent="0.25">
      <c r="E110" s="14" t="s">
        <v>1923</v>
      </c>
    </row>
    <row r="111" spans="5:5" x14ac:dyDescent="0.25">
      <c r="E111" s="15" t="s">
        <v>1766</v>
      </c>
    </row>
    <row r="112" spans="5:5" x14ac:dyDescent="0.25">
      <c r="E112" s="14" t="s">
        <v>1573</v>
      </c>
    </row>
    <row r="113" spans="5:5" x14ac:dyDescent="0.25">
      <c r="E113" s="15" t="s">
        <v>1580</v>
      </c>
    </row>
    <row r="114" spans="5:5" x14ac:dyDescent="0.25">
      <c r="E114" s="14" t="s">
        <v>1599</v>
      </c>
    </row>
    <row r="115" spans="5:5" x14ac:dyDescent="0.25">
      <c r="E115" s="15" t="s">
        <v>1670</v>
      </c>
    </row>
    <row r="116" spans="5:5" x14ac:dyDescent="0.25">
      <c r="E116" s="14" t="s">
        <v>1673</v>
      </c>
    </row>
    <row r="117" spans="5:5" x14ac:dyDescent="0.25">
      <c r="E117" s="15" t="s">
        <v>1753</v>
      </c>
    </row>
    <row r="118" spans="5:5" x14ac:dyDescent="0.25">
      <c r="E118" s="14" t="s">
        <v>1759</v>
      </c>
    </row>
    <row r="119" spans="5:5" x14ac:dyDescent="0.25">
      <c r="E119" s="15" t="s">
        <v>1893</v>
      </c>
    </row>
    <row r="120" spans="5:5" x14ac:dyDescent="0.25">
      <c r="E120" s="14" t="s">
        <v>1460</v>
      </c>
    </row>
    <row r="121" spans="5:5" x14ac:dyDescent="0.25">
      <c r="E121" s="15" t="s">
        <v>1561</v>
      </c>
    </row>
    <row r="122" spans="5:5" x14ac:dyDescent="0.25">
      <c r="E122" s="14" t="s">
        <v>1727</v>
      </c>
    </row>
    <row r="123" spans="5:5" x14ac:dyDescent="0.25">
      <c r="E123" s="15" t="s">
        <v>1917</v>
      </c>
    </row>
    <row r="124" spans="5:5" x14ac:dyDescent="0.25">
      <c r="E124" s="14" t="s">
        <v>1439</v>
      </c>
    </row>
    <row r="125" spans="5:5" x14ac:dyDescent="0.25">
      <c r="E125" s="15" t="s">
        <v>1706</v>
      </c>
    </row>
    <row r="126" spans="5:5" x14ac:dyDescent="0.25">
      <c r="E126" s="14" t="s">
        <v>1502</v>
      </c>
    </row>
    <row r="127" spans="5:5" x14ac:dyDescent="0.25">
      <c r="E127" s="15" t="s">
        <v>1546</v>
      </c>
    </row>
    <row r="128" spans="5:5" x14ac:dyDescent="0.25">
      <c r="E128" s="14" t="s">
        <v>1848</v>
      </c>
    </row>
    <row r="129" spans="5:5" x14ac:dyDescent="0.25">
      <c r="E129" s="15" t="s">
        <v>1518</v>
      </c>
    </row>
    <row r="130" spans="5:5" x14ac:dyDescent="0.25">
      <c r="E130" s="14" t="s">
        <v>1454</v>
      </c>
    </row>
    <row r="131" spans="5:5" x14ac:dyDescent="0.25">
      <c r="E131" s="15" t="s">
        <v>1479</v>
      </c>
    </row>
    <row r="132" spans="5:5" x14ac:dyDescent="0.25">
      <c r="E132" s="14" t="s">
        <v>1891</v>
      </c>
    </row>
    <row r="133" spans="5:5" x14ac:dyDescent="0.25">
      <c r="E133" s="15" t="s">
        <v>1937</v>
      </c>
    </row>
    <row r="134" spans="5:5" x14ac:dyDescent="0.25">
      <c r="E134" s="14" t="s">
        <v>1961</v>
      </c>
    </row>
    <row r="135" spans="5:5" x14ac:dyDescent="0.25">
      <c r="E135" s="15" t="s">
        <v>1769</v>
      </c>
    </row>
    <row r="136" spans="5:5" x14ac:dyDescent="0.25">
      <c r="E136" s="14" t="s">
        <v>1476</v>
      </c>
    </row>
    <row r="137" spans="5:5" x14ac:dyDescent="0.25">
      <c r="E137" s="15" t="s">
        <v>1655</v>
      </c>
    </row>
    <row r="138" spans="5:5" x14ac:dyDescent="0.25">
      <c r="E138" s="14" t="s">
        <v>1693</v>
      </c>
    </row>
    <row r="139" spans="5:5" x14ac:dyDescent="0.25">
      <c r="E139" s="15" t="s">
        <v>1464</v>
      </c>
    </row>
    <row r="140" spans="5:5" x14ac:dyDescent="0.25">
      <c r="E140" s="14" t="s">
        <v>1619</v>
      </c>
    </row>
    <row r="141" spans="5:5" x14ac:dyDescent="0.25">
      <c r="E141" s="15" t="s">
        <v>1526</v>
      </c>
    </row>
    <row r="142" spans="5:5" x14ac:dyDescent="0.25">
      <c r="E142" s="14" t="s">
        <v>1920</v>
      </c>
    </row>
    <row r="143" spans="5:5" x14ac:dyDescent="0.25">
      <c r="E143" s="15" t="s">
        <v>1558</v>
      </c>
    </row>
    <row r="144" spans="5:5" x14ac:dyDescent="0.25">
      <c r="E144" s="14" t="s">
        <v>1686</v>
      </c>
    </row>
    <row r="145" spans="5:5" x14ac:dyDescent="0.25">
      <c r="E145" s="15" t="s">
        <v>1822</v>
      </c>
    </row>
    <row r="146" spans="5:5" x14ac:dyDescent="0.25">
      <c r="E146" s="14" t="s">
        <v>1682</v>
      </c>
    </row>
    <row r="147" spans="5:5" x14ac:dyDescent="0.25">
      <c r="E147" s="15" t="s">
        <v>1774</v>
      </c>
    </row>
    <row r="148" spans="5:5" x14ac:dyDescent="0.25">
      <c r="E148" s="14" t="s">
        <v>1968</v>
      </c>
    </row>
    <row r="149" spans="5:5" x14ac:dyDescent="0.25">
      <c r="E149" s="15" t="s">
        <v>1543</v>
      </c>
    </row>
    <row r="150" spans="5:5" x14ac:dyDescent="0.25">
      <c r="E150" s="14" t="s">
        <v>1549</v>
      </c>
    </row>
    <row r="151" spans="5:5" x14ac:dyDescent="0.25">
      <c r="E151" s="15" t="s">
        <v>1552</v>
      </c>
    </row>
    <row r="152" spans="5:5" x14ac:dyDescent="0.25">
      <c r="E152" s="14" t="s">
        <v>1555</v>
      </c>
    </row>
    <row r="153" spans="5:5" x14ac:dyDescent="0.25">
      <c r="E153" s="15" t="s">
        <v>1736</v>
      </c>
    </row>
    <row r="154" spans="5:5" x14ac:dyDescent="0.25">
      <c r="E154" s="14" t="s">
        <v>1819</v>
      </c>
    </row>
    <row r="155" spans="5:5" x14ac:dyDescent="0.25">
      <c r="E155" s="15" t="s">
        <v>1877</v>
      </c>
    </row>
    <row r="156" spans="5:5" x14ac:dyDescent="0.25">
      <c r="E156" s="14" t="s">
        <v>1912</v>
      </c>
    </row>
    <row r="157" spans="5:5" x14ac:dyDescent="0.25">
      <c r="E157" s="15" t="s">
        <v>1939</v>
      </c>
    </row>
    <row r="158" spans="5:5" x14ac:dyDescent="0.25">
      <c r="E158" s="14" t="s">
        <v>1497</v>
      </c>
    </row>
    <row r="159" spans="5:5" x14ac:dyDescent="0.25">
      <c r="E159" s="15" t="s">
        <v>1972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59"/>
  <sheetViews>
    <sheetView workbookViewId="0">
      <selection activeCell="B2" sqref="B2:B159"/>
    </sheetView>
  </sheetViews>
  <sheetFormatPr baseColWidth="10" defaultRowHeight="15" x14ac:dyDescent="0.25"/>
  <cols>
    <col min="1" max="1" width="20.85546875" bestFit="1" customWidth="1"/>
    <col min="2" max="2" width="34" bestFit="1" customWidth="1"/>
    <col min="3" max="3" width="38.7109375" bestFit="1" customWidth="1"/>
    <col min="4" max="4" width="35" bestFit="1" customWidth="1"/>
    <col min="5" max="5" width="19.140625" bestFit="1" customWidth="1"/>
    <col min="6" max="6" width="18.140625" bestFit="1" customWidth="1"/>
    <col min="7" max="7" width="22.5703125" bestFit="1" customWidth="1"/>
    <col min="8" max="8" width="30" bestFit="1" customWidth="1"/>
    <col min="9" max="9" width="42.140625" bestFit="1" customWidth="1"/>
  </cols>
  <sheetData>
    <row r="1" spans="1:9" x14ac:dyDescent="0.25">
      <c r="A1" t="s">
        <v>1430</v>
      </c>
      <c r="B1" t="s">
        <v>1429</v>
      </c>
      <c r="C1" t="s">
        <v>1431</v>
      </c>
      <c r="D1" t="s">
        <v>1432</v>
      </c>
      <c r="E1" t="s">
        <v>1433</v>
      </c>
      <c r="F1" t="s">
        <v>1434</v>
      </c>
      <c r="G1" t="s">
        <v>1435</v>
      </c>
      <c r="H1" t="s">
        <v>1436</v>
      </c>
      <c r="I1" t="s">
        <v>1437</v>
      </c>
    </row>
    <row r="2" spans="1:9" x14ac:dyDescent="0.25">
      <c r="A2" s="8">
        <v>99018533</v>
      </c>
      <c r="B2" s="8" t="s">
        <v>1830</v>
      </c>
      <c r="C2" s="8" t="s">
        <v>1831</v>
      </c>
      <c r="D2" s="8" t="s">
        <v>1456</v>
      </c>
      <c r="E2" s="1">
        <v>33119</v>
      </c>
      <c r="F2">
        <v>10</v>
      </c>
      <c r="G2" s="1">
        <v>26520</v>
      </c>
      <c r="H2" s="8" t="s">
        <v>1457</v>
      </c>
      <c r="I2" s="8" t="s">
        <v>1832</v>
      </c>
    </row>
    <row r="3" spans="1:9" x14ac:dyDescent="0.25">
      <c r="A3" s="8" t="s">
        <v>1839</v>
      </c>
      <c r="B3" s="8" t="s">
        <v>1840</v>
      </c>
      <c r="C3" s="8" t="s">
        <v>1194</v>
      </c>
      <c r="D3" s="8" t="s">
        <v>1466</v>
      </c>
      <c r="E3" s="1">
        <v>34514</v>
      </c>
      <c r="F3">
        <v>3</v>
      </c>
      <c r="G3" s="1">
        <v>27230</v>
      </c>
      <c r="H3" s="8" t="s">
        <v>319</v>
      </c>
      <c r="I3" s="8" t="s">
        <v>1722</v>
      </c>
    </row>
    <row r="4" spans="1:9" x14ac:dyDescent="0.25">
      <c r="A4" s="8" t="s">
        <v>1881</v>
      </c>
      <c r="B4" s="8" t="s">
        <v>1882</v>
      </c>
      <c r="C4" s="8" t="s">
        <v>1085</v>
      </c>
      <c r="D4" s="8" t="s">
        <v>1603</v>
      </c>
      <c r="E4" s="1">
        <v>36487</v>
      </c>
      <c r="F4">
        <v>3</v>
      </c>
      <c r="G4" s="1">
        <v>27495</v>
      </c>
      <c r="H4" s="8" t="s">
        <v>1457</v>
      </c>
      <c r="I4" s="8" t="s">
        <v>1883</v>
      </c>
    </row>
    <row r="5" spans="1:9" x14ac:dyDescent="0.25">
      <c r="A5" s="8" t="s">
        <v>1636</v>
      </c>
      <c r="B5" s="8" t="s">
        <v>1637</v>
      </c>
      <c r="C5" s="8" t="s">
        <v>1638</v>
      </c>
      <c r="D5" s="8" t="s">
        <v>1531</v>
      </c>
      <c r="E5" s="1">
        <v>36503</v>
      </c>
      <c r="F5">
        <v>45</v>
      </c>
      <c r="G5" s="1">
        <v>27309</v>
      </c>
      <c r="H5" s="8" t="s">
        <v>1457</v>
      </c>
      <c r="I5" s="8" t="s">
        <v>1639</v>
      </c>
    </row>
    <row r="6" spans="1:9" x14ac:dyDescent="0.25">
      <c r="A6" s="8" t="s">
        <v>1640</v>
      </c>
      <c r="B6" s="8" t="s">
        <v>1641</v>
      </c>
      <c r="C6" s="8" t="s">
        <v>1642</v>
      </c>
      <c r="D6" s="8" t="s">
        <v>1643</v>
      </c>
      <c r="E6" s="1">
        <v>36586</v>
      </c>
      <c r="F6">
        <v>4</v>
      </c>
      <c r="G6" s="1">
        <v>22342</v>
      </c>
      <c r="H6" s="8" t="s">
        <v>1457</v>
      </c>
      <c r="I6" s="8" t="s">
        <v>1644</v>
      </c>
    </row>
    <row r="7" spans="1:9" x14ac:dyDescent="0.25">
      <c r="A7" s="8" t="s">
        <v>1513</v>
      </c>
      <c r="B7" s="8" t="s">
        <v>1514</v>
      </c>
      <c r="C7" s="8" t="s">
        <v>1515</v>
      </c>
      <c r="D7" s="8" t="s">
        <v>1516</v>
      </c>
      <c r="E7" s="1">
        <v>37266</v>
      </c>
      <c r="F7">
        <v>2</v>
      </c>
      <c r="G7" s="1">
        <v>26432</v>
      </c>
      <c r="H7" s="8" t="s">
        <v>1512</v>
      </c>
      <c r="I7" s="8" t="s">
        <v>1767</v>
      </c>
    </row>
    <row r="8" spans="1:9" x14ac:dyDescent="0.25">
      <c r="A8" s="8" t="s">
        <v>1898</v>
      </c>
      <c r="B8" s="8" t="s">
        <v>1899</v>
      </c>
      <c r="C8" s="8" t="s">
        <v>1053</v>
      </c>
      <c r="D8" s="8" t="s">
        <v>1587</v>
      </c>
      <c r="E8" s="1">
        <v>37387</v>
      </c>
      <c r="F8">
        <v>9</v>
      </c>
      <c r="G8" s="1">
        <v>23193</v>
      </c>
      <c r="H8" s="8" t="s">
        <v>1457</v>
      </c>
      <c r="I8" s="8" t="s">
        <v>1900</v>
      </c>
    </row>
    <row r="9" spans="1:9" x14ac:dyDescent="0.25">
      <c r="A9" s="8" t="s">
        <v>1796</v>
      </c>
      <c r="B9" s="8" t="s">
        <v>1797</v>
      </c>
      <c r="C9" s="8" t="s">
        <v>1798</v>
      </c>
      <c r="D9" s="8" t="s">
        <v>1799</v>
      </c>
      <c r="E9" s="1">
        <v>37400</v>
      </c>
      <c r="F9">
        <v>15</v>
      </c>
      <c r="G9" s="1">
        <v>24713</v>
      </c>
      <c r="H9" s="8" t="s">
        <v>1457</v>
      </c>
      <c r="I9" s="8" t="s">
        <v>1800</v>
      </c>
    </row>
    <row r="10" spans="1:9" x14ac:dyDescent="0.25">
      <c r="A10" s="8" t="s">
        <v>1925</v>
      </c>
      <c r="B10" s="8" t="s">
        <v>1926</v>
      </c>
      <c r="C10" s="8" t="s">
        <v>1927</v>
      </c>
      <c r="D10" s="8" t="s">
        <v>1531</v>
      </c>
      <c r="E10" s="1">
        <v>37431</v>
      </c>
      <c r="F10">
        <v>12</v>
      </c>
      <c r="G10" s="1">
        <v>29416</v>
      </c>
      <c r="H10" s="8" t="s">
        <v>1457</v>
      </c>
      <c r="I10" s="8" t="s">
        <v>1532</v>
      </c>
    </row>
    <row r="11" spans="1:9" x14ac:dyDescent="0.25">
      <c r="A11" s="8" t="s">
        <v>1963</v>
      </c>
      <c r="B11" s="8" t="s">
        <v>1964</v>
      </c>
      <c r="C11" s="8" t="s">
        <v>1965</v>
      </c>
      <c r="D11" s="8" t="s">
        <v>1448</v>
      </c>
      <c r="E11" s="1">
        <v>37453</v>
      </c>
      <c r="F11">
        <v>9</v>
      </c>
      <c r="G11" s="1">
        <v>26352</v>
      </c>
      <c r="H11" s="8" t="s">
        <v>1966</v>
      </c>
      <c r="I11" s="8" t="s">
        <v>185</v>
      </c>
    </row>
    <row r="12" spans="1:9" x14ac:dyDescent="0.25">
      <c r="A12" s="8" t="s">
        <v>1789</v>
      </c>
      <c r="B12" s="8" t="s">
        <v>1790</v>
      </c>
      <c r="C12" s="8" t="s">
        <v>896</v>
      </c>
      <c r="D12" s="8" t="s">
        <v>1448</v>
      </c>
      <c r="E12" s="1">
        <v>37475</v>
      </c>
      <c r="F12">
        <v>4</v>
      </c>
      <c r="G12" s="1">
        <v>28689</v>
      </c>
      <c r="H12" s="8" t="s">
        <v>1457</v>
      </c>
      <c r="I12" s="8" t="s">
        <v>1791</v>
      </c>
    </row>
    <row r="13" spans="1:9" x14ac:dyDescent="0.25">
      <c r="A13" s="8" t="s">
        <v>1836</v>
      </c>
      <c r="B13" s="8" t="s">
        <v>1837</v>
      </c>
      <c r="C13" s="8" t="s">
        <v>1838</v>
      </c>
      <c r="D13" s="8" t="s">
        <v>1466</v>
      </c>
      <c r="E13" s="1">
        <v>37488</v>
      </c>
      <c r="F13">
        <v>3</v>
      </c>
      <c r="G13" s="1">
        <v>25274</v>
      </c>
      <c r="H13" s="8" t="s">
        <v>319</v>
      </c>
      <c r="I13" s="8" t="s">
        <v>1722</v>
      </c>
    </row>
    <row r="14" spans="1:9" x14ac:dyDescent="0.25">
      <c r="A14" s="8" t="s">
        <v>1914</v>
      </c>
      <c r="B14" s="8" t="s">
        <v>1915</v>
      </c>
      <c r="C14" s="8" t="s">
        <v>1160</v>
      </c>
      <c r="D14" s="8" t="s">
        <v>1448</v>
      </c>
      <c r="E14" s="1">
        <v>37498</v>
      </c>
      <c r="F14">
        <v>2</v>
      </c>
      <c r="G14" s="1">
        <v>29328</v>
      </c>
      <c r="H14" s="8" t="s">
        <v>1449</v>
      </c>
      <c r="I14" s="8" t="s">
        <v>1691</v>
      </c>
    </row>
    <row r="15" spans="1:9" x14ac:dyDescent="0.25">
      <c r="A15" s="8" t="s">
        <v>1887</v>
      </c>
      <c r="B15" s="8" t="s">
        <v>1888</v>
      </c>
      <c r="C15" s="8" t="s">
        <v>1889</v>
      </c>
      <c r="D15" s="8" t="s">
        <v>1456</v>
      </c>
      <c r="E15" s="1">
        <v>37580</v>
      </c>
      <c r="F15">
        <v>12</v>
      </c>
      <c r="G15" s="1">
        <v>28042</v>
      </c>
      <c r="H15" s="8" t="s">
        <v>1457</v>
      </c>
      <c r="I15" s="8" t="s">
        <v>1470</v>
      </c>
    </row>
    <row r="16" spans="1:9" x14ac:dyDescent="0.25">
      <c r="A16" s="8" t="s">
        <v>1816</v>
      </c>
      <c r="B16" s="8" t="s">
        <v>1817</v>
      </c>
      <c r="C16" s="8" t="s">
        <v>54</v>
      </c>
      <c r="D16" s="8" t="s">
        <v>1582</v>
      </c>
      <c r="E16" s="1">
        <v>37652</v>
      </c>
      <c r="F16">
        <v>2</v>
      </c>
      <c r="G16" s="1">
        <v>30980</v>
      </c>
      <c r="H16" s="8" t="s">
        <v>68</v>
      </c>
      <c r="I16" s="8" t="s">
        <v>286</v>
      </c>
    </row>
    <row r="17" spans="1:9" x14ac:dyDescent="0.25">
      <c r="A17" s="8" t="s">
        <v>1884</v>
      </c>
      <c r="B17" s="8" t="s">
        <v>1885</v>
      </c>
      <c r="C17" s="8" t="s">
        <v>350</v>
      </c>
      <c r="D17" s="8" t="s">
        <v>1466</v>
      </c>
      <c r="E17" s="1">
        <v>37677</v>
      </c>
      <c r="F17">
        <v>3</v>
      </c>
      <c r="G17" s="1">
        <v>26315</v>
      </c>
      <c r="H17" s="8" t="s">
        <v>1457</v>
      </c>
      <c r="I17" s="8" t="s">
        <v>1886</v>
      </c>
    </row>
    <row r="18" spans="1:9" x14ac:dyDescent="0.25">
      <c r="A18" s="8" t="s">
        <v>1833</v>
      </c>
      <c r="B18" s="8" t="s">
        <v>1834</v>
      </c>
      <c r="C18" s="8" t="s">
        <v>1835</v>
      </c>
      <c r="D18" s="8" t="s">
        <v>1592</v>
      </c>
      <c r="E18" s="1">
        <v>37696</v>
      </c>
      <c r="F18">
        <v>2</v>
      </c>
      <c r="G18" s="1">
        <v>27980</v>
      </c>
      <c r="H18" s="8" t="s">
        <v>1593</v>
      </c>
      <c r="I18" s="8" t="s">
        <v>1684</v>
      </c>
    </row>
    <row r="19" spans="1:9" x14ac:dyDescent="0.25">
      <c r="A19" s="8" t="s">
        <v>1719</v>
      </c>
      <c r="B19" s="8" t="s">
        <v>1720</v>
      </c>
      <c r="C19" s="8" t="s">
        <v>1721</v>
      </c>
      <c r="D19" s="8" t="s">
        <v>1466</v>
      </c>
      <c r="E19" s="1">
        <v>37698</v>
      </c>
      <c r="F19">
        <v>2</v>
      </c>
      <c r="G19" s="1">
        <v>26431</v>
      </c>
      <c r="H19" s="8" t="s">
        <v>319</v>
      </c>
      <c r="I19" s="8" t="s">
        <v>1722</v>
      </c>
    </row>
    <row r="20" spans="1:9" x14ac:dyDescent="0.25">
      <c r="A20" s="8" t="s">
        <v>1947</v>
      </c>
      <c r="B20" s="8" t="s">
        <v>1948</v>
      </c>
      <c r="C20" s="8" t="s">
        <v>1949</v>
      </c>
      <c r="D20" s="8" t="s">
        <v>1852</v>
      </c>
      <c r="E20" s="1">
        <v>37707</v>
      </c>
      <c r="F20">
        <v>14</v>
      </c>
      <c r="G20" s="1">
        <v>30617</v>
      </c>
      <c r="H20" s="8" t="s">
        <v>1457</v>
      </c>
      <c r="I20" s="8" t="s">
        <v>1853</v>
      </c>
    </row>
    <row r="21" spans="1:9" x14ac:dyDescent="0.25">
      <c r="A21" s="8" t="s">
        <v>1445</v>
      </c>
      <c r="B21" s="8" t="s">
        <v>1446</v>
      </c>
      <c r="C21" s="8" t="s">
        <v>1447</v>
      </c>
      <c r="D21" s="8" t="s">
        <v>1448</v>
      </c>
      <c r="E21" s="1">
        <v>37712</v>
      </c>
      <c r="F21">
        <v>4</v>
      </c>
      <c r="G21" s="1">
        <v>28547</v>
      </c>
      <c r="H21" s="8" t="s">
        <v>1449</v>
      </c>
      <c r="I21" s="8" t="s">
        <v>1450</v>
      </c>
    </row>
    <row r="22" spans="1:9" x14ac:dyDescent="0.25">
      <c r="A22" s="8" t="s">
        <v>1826</v>
      </c>
      <c r="B22" s="8" t="s">
        <v>1827</v>
      </c>
      <c r="C22" s="8" t="s">
        <v>1828</v>
      </c>
      <c r="D22" s="8" t="s">
        <v>1603</v>
      </c>
      <c r="E22" s="1">
        <v>37747</v>
      </c>
      <c r="F22">
        <v>7</v>
      </c>
      <c r="G22" s="1">
        <v>28444</v>
      </c>
      <c r="H22" s="8" t="s">
        <v>1457</v>
      </c>
      <c r="I22" s="8" t="s">
        <v>1829</v>
      </c>
    </row>
    <row r="23" spans="1:9" x14ac:dyDescent="0.25">
      <c r="A23" s="8" t="s">
        <v>1665</v>
      </c>
      <c r="B23" s="8" t="s">
        <v>1666</v>
      </c>
      <c r="C23" s="8" t="s">
        <v>1667</v>
      </c>
      <c r="D23" s="8" t="s">
        <v>1511</v>
      </c>
      <c r="E23" s="1">
        <v>37893</v>
      </c>
      <c r="F23">
        <v>3</v>
      </c>
      <c r="G23" s="1">
        <v>28203</v>
      </c>
      <c r="H23" s="8" t="s">
        <v>68</v>
      </c>
      <c r="I23" s="8" t="s">
        <v>1668</v>
      </c>
    </row>
    <row r="24" spans="1:9" x14ac:dyDescent="0.25">
      <c r="A24" s="8" t="s">
        <v>1901</v>
      </c>
      <c r="B24" s="8" t="s">
        <v>1902</v>
      </c>
      <c r="C24" s="8" t="s">
        <v>236</v>
      </c>
      <c r="D24" s="8" t="s">
        <v>1608</v>
      </c>
      <c r="E24" s="1">
        <v>37928</v>
      </c>
      <c r="F24">
        <v>3</v>
      </c>
      <c r="G24" s="1">
        <v>29809</v>
      </c>
      <c r="H24" s="8" t="s">
        <v>1609</v>
      </c>
      <c r="I24" s="8" t="s">
        <v>1610</v>
      </c>
    </row>
    <row r="25" spans="1:9" x14ac:dyDescent="0.25">
      <c r="A25" s="8" t="s">
        <v>1777</v>
      </c>
      <c r="B25" s="8" t="s">
        <v>1778</v>
      </c>
      <c r="C25" s="8" t="s">
        <v>1779</v>
      </c>
      <c r="D25" s="8" t="s">
        <v>1643</v>
      </c>
      <c r="E25" s="1">
        <v>37956</v>
      </c>
      <c r="F25">
        <v>14</v>
      </c>
      <c r="G25" s="1">
        <v>30139</v>
      </c>
      <c r="H25" s="8" t="s">
        <v>1457</v>
      </c>
      <c r="I25" s="8" t="s">
        <v>1780</v>
      </c>
    </row>
    <row r="26" spans="1:9" x14ac:dyDescent="0.25">
      <c r="A26" s="8" t="s">
        <v>1861</v>
      </c>
      <c r="B26" s="8" t="s">
        <v>1862</v>
      </c>
      <c r="C26" s="8" t="s">
        <v>1863</v>
      </c>
      <c r="D26" s="8" t="s">
        <v>1493</v>
      </c>
      <c r="E26" s="1">
        <v>38090</v>
      </c>
      <c r="F26">
        <v>6</v>
      </c>
      <c r="G26" s="1">
        <v>30787</v>
      </c>
      <c r="H26" s="8" t="s">
        <v>1457</v>
      </c>
      <c r="I26" s="8" t="s">
        <v>1864</v>
      </c>
    </row>
    <row r="27" spans="1:9" x14ac:dyDescent="0.25">
      <c r="A27" s="8" t="s">
        <v>1624</v>
      </c>
      <c r="B27" s="8" t="s">
        <v>1625</v>
      </c>
      <c r="C27" s="8" t="s">
        <v>1626</v>
      </c>
      <c r="D27" s="8" t="s">
        <v>1456</v>
      </c>
      <c r="E27" s="1">
        <v>38176</v>
      </c>
      <c r="F27">
        <v>8</v>
      </c>
      <c r="G27" s="1">
        <v>22988</v>
      </c>
      <c r="H27" s="8" t="s">
        <v>1457</v>
      </c>
      <c r="I27" s="8" t="s">
        <v>1627</v>
      </c>
    </row>
    <row r="28" spans="1:9" x14ac:dyDescent="0.25">
      <c r="A28" s="8" t="s">
        <v>1568</v>
      </c>
      <c r="B28" s="8" t="s">
        <v>1569</v>
      </c>
      <c r="C28" s="8" t="s">
        <v>716</v>
      </c>
      <c r="D28" s="8" t="s">
        <v>1570</v>
      </c>
      <c r="E28" s="1">
        <v>38246</v>
      </c>
      <c r="F28">
        <v>2</v>
      </c>
      <c r="G28" s="1">
        <v>26153</v>
      </c>
      <c r="H28" s="8" t="s">
        <v>689</v>
      </c>
      <c r="I28" s="8" t="s">
        <v>1571</v>
      </c>
    </row>
    <row r="29" spans="1:9" x14ac:dyDescent="0.25">
      <c r="A29" s="8" t="s">
        <v>1688</v>
      </c>
      <c r="B29" s="8" t="s">
        <v>1689</v>
      </c>
      <c r="C29" s="8" t="s">
        <v>1690</v>
      </c>
      <c r="D29" s="8" t="s">
        <v>1448</v>
      </c>
      <c r="E29" s="1">
        <v>38379</v>
      </c>
      <c r="F29">
        <v>1</v>
      </c>
      <c r="G29" s="1">
        <v>26734</v>
      </c>
      <c r="H29" s="8" t="s">
        <v>1449</v>
      </c>
      <c r="I29" s="8" t="s">
        <v>1691</v>
      </c>
    </row>
    <row r="30" spans="1:9" x14ac:dyDescent="0.25">
      <c r="A30" s="8" t="s">
        <v>1600</v>
      </c>
      <c r="B30" s="8" t="s">
        <v>1601</v>
      </c>
      <c r="C30" s="8" t="s">
        <v>1602</v>
      </c>
      <c r="D30" s="8" t="s">
        <v>1603</v>
      </c>
      <c r="E30" s="1">
        <v>38383</v>
      </c>
      <c r="F30">
        <v>13</v>
      </c>
      <c r="G30" s="1">
        <v>31102</v>
      </c>
      <c r="H30" s="8" t="s">
        <v>1457</v>
      </c>
      <c r="I30" s="8" t="s">
        <v>1604</v>
      </c>
    </row>
    <row r="31" spans="1:9" x14ac:dyDescent="0.25">
      <c r="A31" s="8" t="s">
        <v>1628</v>
      </c>
      <c r="B31" s="8" t="s">
        <v>1629</v>
      </c>
      <c r="C31" s="8" t="s">
        <v>1630</v>
      </c>
      <c r="D31" s="8" t="s">
        <v>1511</v>
      </c>
      <c r="E31" s="1">
        <v>38406</v>
      </c>
      <c r="F31">
        <v>3</v>
      </c>
      <c r="G31" s="1">
        <v>27367</v>
      </c>
      <c r="H31" s="8" t="s">
        <v>1512</v>
      </c>
      <c r="I31" s="8" t="s">
        <v>1631</v>
      </c>
    </row>
    <row r="32" spans="1:9" x14ac:dyDescent="0.25">
      <c r="A32" s="8" t="s">
        <v>1620</v>
      </c>
      <c r="B32" s="8" t="s">
        <v>1621</v>
      </c>
      <c r="C32" s="8" t="s">
        <v>556</v>
      </c>
      <c r="D32" s="8" t="s">
        <v>1622</v>
      </c>
      <c r="E32" s="1">
        <v>38512</v>
      </c>
      <c r="F32">
        <v>4</v>
      </c>
      <c r="G32" s="1">
        <v>30777</v>
      </c>
      <c r="H32" s="8" t="s">
        <v>1457</v>
      </c>
      <c r="I32" s="8" t="s">
        <v>1623</v>
      </c>
    </row>
    <row r="33" spans="1:9" x14ac:dyDescent="0.25">
      <c r="A33" s="8" t="s">
        <v>1595</v>
      </c>
      <c r="B33" s="8" t="s">
        <v>1596</v>
      </c>
      <c r="C33" s="8" t="s">
        <v>1597</v>
      </c>
      <c r="D33" s="8" t="s">
        <v>1592</v>
      </c>
      <c r="E33" s="1">
        <v>38532</v>
      </c>
      <c r="F33">
        <v>3</v>
      </c>
      <c r="G33" s="1">
        <v>30873</v>
      </c>
      <c r="H33" s="8" t="s">
        <v>1593</v>
      </c>
      <c r="I33" s="8" t="s">
        <v>1594</v>
      </c>
    </row>
    <row r="34" spans="1:9" x14ac:dyDescent="0.25">
      <c r="A34" s="8" t="s">
        <v>1952</v>
      </c>
      <c r="B34" s="8" t="s">
        <v>1953</v>
      </c>
      <c r="C34" s="8" t="s">
        <v>1954</v>
      </c>
      <c r="D34" s="8" t="s">
        <v>1852</v>
      </c>
      <c r="E34" s="1">
        <v>38547</v>
      </c>
      <c r="F34">
        <v>15</v>
      </c>
      <c r="G34" s="1">
        <v>30798</v>
      </c>
      <c r="H34" s="8" t="s">
        <v>1457</v>
      </c>
      <c r="I34" s="8" t="s">
        <v>1853</v>
      </c>
    </row>
    <row r="35" spans="1:9" x14ac:dyDescent="0.25">
      <c r="A35" s="8" t="s">
        <v>1632</v>
      </c>
      <c r="B35" s="8" t="s">
        <v>1633</v>
      </c>
      <c r="C35" s="8" t="s">
        <v>1634</v>
      </c>
      <c r="D35" s="8" t="s">
        <v>1511</v>
      </c>
      <c r="E35" s="1">
        <v>38558</v>
      </c>
      <c r="F35">
        <v>2</v>
      </c>
      <c r="G35" s="1">
        <v>29665</v>
      </c>
      <c r="H35" s="8" t="s">
        <v>1512</v>
      </c>
      <c r="I35" s="8" t="s">
        <v>1635</v>
      </c>
    </row>
    <row r="36" spans="1:9" x14ac:dyDescent="0.25">
      <c r="A36" s="8" t="s">
        <v>1521</v>
      </c>
      <c r="B36" s="8" t="s">
        <v>1522</v>
      </c>
      <c r="C36" s="8" t="s">
        <v>1523</v>
      </c>
      <c r="D36" s="8" t="s">
        <v>1466</v>
      </c>
      <c r="E36" s="1">
        <v>38748</v>
      </c>
      <c r="F36">
        <v>1</v>
      </c>
      <c r="G36" s="1">
        <v>30561</v>
      </c>
      <c r="H36" s="8" t="s">
        <v>1966</v>
      </c>
      <c r="I36" s="8" t="s">
        <v>1524</v>
      </c>
    </row>
    <row r="37" spans="1:9" x14ac:dyDescent="0.25">
      <c r="A37" s="8" t="s">
        <v>1740</v>
      </c>
      <c r="B37" s="8" t="s">
        <v>1741</v>
      </c>
      <c r="C37" s="8" t="s">
        <v>279</v>
      </c>
      <c r="D37" s="8" t="s">
        <v>1516</v>
      </c>
      <c r="E37" s="1">
        <v>38867</v>
      </c>
      <c r="F37">
        <v>2</v>
      </c>
      <c r="G37" s="1">
        <v>30777</v>
      </c>
      <c r="H37" s="8" t="s">
        <v>68</v>
      </c>
      <c r="I37" s="8" t="s">
        <v>286</v>
      </c>
    </row>
    <row r="38" spans="1:9" x14ac:dyDescent="0.25">
      <c r="A38" s="8" t="s">
        <v>1748</v>
      </c>
      <c r="B38" s="8" t="s">
        <v>1749</v>
      </c>
      <c r="C38" s="8" t="s">
        <v>1750</v>
      </c>
      <c r="D38" s="8" t="s">
        <v>1504</v>
      </c>
      <c r="E38" s="1">
        <v>38874</v>
      </c>
      <c r="F38">
        <v>3</v>
      </c>
      <c r="G38" s="1">
        <v>30427</v>
      </c>
      <c r="H38" s="8" t="s">
        <v>1457</v>
      </c>
      <c r="I38" s="8" t="s">
        <v>1751</v>
      </c>
    </row>
    <row r="39" spans="1:9" x14ac:dyDescent="0.25">
      <c r="A39" s="8" t="s">
        <v>1792</v>
      </c>
      <c r="B39" s="8" t="s">
        <v>1793</v>
      </c>
      <c r="C39" s="8" t="s">
        <v>1794</v>
      </c>
      <c r="D39" s="8" t="s">
        <v>1643</v>
      </c>
      <c r="E39" s="1">
        <v>38882</v>
      </c>
      <c r="F39">
        <v>5</v>
      </c>
      <c r="G39" s="1">
        <v>28072</v>
      </c>
      <c r="H39" s="8" t="s">
        <v>1457</v>
      </c>
      <c r="I39" s="8" t="s">
        <v>1795</v>
      </c>
    </row>
    <row r="40" spans="1:9" x14ac:dyDescent="0.25">
      <c r="A40" s="8" t="s">
        <v>1509</v>
      </c>
      <c r="B40" s="8" t="s">
        <v>1510</v>
      </c>
      <c r="C40" s="8" t="s">
        <v>947</v>
      </c>
      <c r="D40" s="8" t="s">
        <v>1511</v>
      </c>
      <c r="E40" s="1">
        <v>38944</v>
      </c>
      <c r="F40">
        <v>5</v>
      </c>
      <c r="G40" s="1">
        <v>28930</v>
      </c>
      <c r="H40" s="8" t="s">
        <v>1512</v>
      </c>
      <c r="I40" s="8" t="s">
        <v>1767</v>
      </c>
    </row>
    <row r="41" spans="1:9" x14ac:dyDescent="0.25">
      <c r="A41" s="8" t="s">
        <v>1451</v>
      </c>
      <c r="B41" s="8" t="s">
        <v>1452</v>
      </c>
      <c r="C41" s="8" t="s">
        <v>639</v>
      </c>
      <c r="D41" s="8" t="s">
        <v>1448</v>
      </c>
      <c r="E41" s="1">
        <v>38971</v>
      </c>
      <c r="F41">
        <v>4</v>
      </c>
      <c r="G41" s="1">
        <v>30847</v>
      </c>
      <c r="H41" s="8" t="s">
        <v>1449</v>
      </c>
      <c r="I41" s="8" t="s">
        <v>1450</v>
      </c>
    </row>
    <row r="42" spans="1:9" x14ac:dyDescent="0.25">
      <c r="A42" s="8" t="s">
        <v>1679</v>
      </c>
      <c r="B42" s="8" t="s">
        <v>1680</v>
      </c>
      <c r="C42" s="8" t="s">
        <v>440</v>
      </c>
      <c r="D42" s="8" t="s">
        <v>1493</v>
      </c>
      <c r="E42" s="1">
        <v>39008</v>
      </c>
      <c r="F42">
        <v>2</v>
      </c>
      <c r="G42" s="1">
        <v>30595</v>
      </c>
      <c r="H42" s="8" t="s">
        <v>1494</v>
      </c>
      <c r="I42" s="8" t="s">
        <v>1676</v>
      </c>
    </row>
    <row r="43" spans="1:9" x14ac:dyDescent="0.25">
      <c r="A43" s="8" t="s">
        <v>1895</v>
      </c>
      <c r="B43" s="8" t="s">
        <v>1896</v>
      </c>
      <c r="C43" s="8" t="s">
        <v>802</v>
      </c>
      <c r="D43" s="8" t="s">
        <v>1799</v>
      </c>
      <c r="E43" s="1">
        <v>39051</v>
      </c>
      <c r="F43">
        <v>9</v>
      </c>
      <c r="G43" s="1">
        <v>32289</v>
      </c>
      <c r="H43" s="8" t="s">
        <v>1457</v>
      </c>
      <c r="I43" s="8" t="s">
        <v>1897</v>
      </c>
    </row>
    <row r="44" spans="1:9" x14ac:dyDescent="0.25">
      <c r="A44" s="8" t="s">
        <v>1742</v>
      </c>
      <c r="B44" s="8" t="s">
        <v>1743</v>
      </c>
      <c r="C44" s="8" t="s">
        <v>1744</v>
      </c>
      <c r="D44" s="8" t="s">
        <v>1511</v>
      </c>
      <c r="E44" s="1">
        <v>39330</v>
      </c>
      <c r="F44">
        <v>1</v>
      </c>
      <c r="G44" s="1">
        <v>31667</v>
      </c>
      <c r="H44" s="8" t="s">
        <v>68</v>
      </c>
      <c r="I44" s="8" t="s">
        <v>286</v>
      </c>
    </row>
    <row r="45" spans="1:9" x14ac:dyDescent="0.25">
      <c r="A45" s="8" t="s">
        <v>1677</v>
      </c>
      <c r="B45" s="8" t="s">
        <v>1678</v>
      </c>
      <c r="C45" s="8" t="s">
        <v>524</v>
      </c>
      <c r="D45" s="8" t="s">
        <v>1493</v>
      </c>
      <c r="E45" s="1">
        <v>39426</v>
      </c>
      <c r="F45">
        <v>2</v>
      </c>
      <c r="G45" s="1">
        <v>32241</v>
      </c>
      <c r="H45" s="8" t="s">
        <v>1494</v>
      </c>
      <c r="I45" s="8" t="s">
        <v>1676</v>
      </c>
    </row>
    <row r="46" spans="1:9" x14ac:dyDescent="0.25">
      <c r="A46" s="8" t="s">
        <v>1538</v>
      </c>
      <c r="B46" s="8" t="s">
        <v>1539</v>
      </c>
      <c r="C46" s="8" t="s">
        <v>1540</v>
      </c>
      <c r="D46" s="8" t="s">
        <v>1541</v>
      </c>
      <c r="E46" s="1">
        <v>39508</v>
      </c>
      <c r="F46">
        <v>4</v>
      </c>
      <c r="G46" s="1">
        <v>30597</v>
      </c>
      <c r="H46" s="8" t="s">
        <v>1457</v>
      </c>
      <c r="I46" s="8" t="s">
        <v>1537</v>
      </c>
    </row>
    <row r="47" spans="1:9" x14ac:dyDescent="0.25">
      <c r="A47" s="8" t="s">
        <v>1761</v>
      </c>
      <c r="B47" s="8" t="s">
        <v>1762</v>
      </c>
      <c r="C47" s="8" t="s">
        <v>1763</v>
      </c>
      <c r="D47" s="8" t="s">
        <v>1541</v>
      </c>
      <c r="E47" s="1">
        <v>39508</v>
      </c>
      <c r="F47">
        <v>4</v>
      </c>
      <c r="G47" s="1">
        <v>30527</v>
      </c>
      <c r="H47" s="8" t="s">
        <v>1457</v>
      </c>
      <c r="I47" s="8" t="s">
        <v>1764</v>
      </c>
    </row>
    <row r="48" spans="1:9" x14ac:dyDescent="0.25">
      <c r="A48" s="8" t="s">
        <v>1849</v>
      </c>
      <c r="B48" s="8" t="s">
        <v>1850</v>
      </c>
      <c r="C48" s="8" t="s">
        <v>1851</v>
      </c>
      <c r="D48" s="8" t="s">
        <v>1852</v>
      </c>
      <c r="E48" s="1">
        <v>39570</v>
      </c>
      <c r="F48">
        <v>14</v>
      </c>
      <c r="G48" s="1">
        <v>32398</v>
      </c>
      <c r="H48" s="8" t="s">
        <v>1457</v>
      </c>
      <c r="I48" s="8" t="s">
        <v>1853</v>
      </c>
    </row>
    <row r="49" spans="1:9" x14ac:dyDescent="0.25">
      <c r="A49" s="8" t="s">
        <v>1841</v>
      </c>
      <c r="B49" s="8" t="s">
        <v>1842</v>
      </c>
      <c r="C49" s="8" t="s">
        <v>1843</v>
      </c>
      <c r="D49" s="8" t="s">
        <v>1652</v>
      </c>
      <c r="E49" s="1">
        <v>39634</v>
      </c>
      <c r="F49">
        <v>2</v>
      </c>
      <c r="G49" s="1">
        <v>31764</v>
      </c>
      <c r="H49" s="8" t="s">
        <v>1457</v>
      </c>
      <c r="I49" s="8" t="s">
        <v>1844</v>
      </c>
    </row>
    <row r="50" spans="1:9" x14ac:dyDescent="0.25">
      <c r="A50" s="8" t="s">
        <v>1589</v>
      </c>
      <c r="B50" s="8" t="s">
        <v>1590</v>
      </c>
      <c r="C50" s="8" t="s">
        <v>1591</v>
      </c>
      <c r="D50" s="8" t="s">
        <v>1592</v>
      </c>
      <c r="E50" s="1">
        <v>39658</v>
      </c>
      <c r="F50">
        <v>3</v>
      </c>
      <c r="G50" s="1">
        <v>27180</v>
      </c>
      <c r="H50" s="8" t="s">
        <v>1593</v>
      </c>
      <c r="I50" s="8" t="s">
        <v>1594</v>
      </c>
    </row>
    <row r="51" spans="1:9" x14ac:dyDescent="0.25">
      <c r="A51" s="8" t="s">
        <v>1661</v>
      </c>
      <c r="B51" s="8" t="s">
        <v>1662</v>
      </c>
      <c r="C51" s="8" t="s">
        <v>1663</v>
      </c>
      <c r="D51" s="8" t="s">
        <v>1587</v>
      </c>
      <c r="E51" s="1">
        <v>39692</v>
      </c>
      <c r="F51">
        <v>2</v>
      </c>
      <c r="G51" s="1">
        <v>29519</v>
      </c>
      <c r="H51" s="8" t="s">
        <v>1457</v>
      </c>
      <c r="I51" s="8" t="s">
        <v>1664</v>
      </c>
    </row>
    <row r="52" spans="1:9" x14ac:dyDescent="0.25">
      <c r="A52" s="8" t="s">
        <v>1944</v>
      </c>
      <c r="B52" s="8" t="s">
        <v>1945</v>
      </c>
      <c r="C52" s="8" t="s">
        <v>1946</v>
      </c>
      <c r="D52" s="8" t="s">
        <v>1448</v>
      </c>
      <c r="E52" s="1">
        <v>39695</v>
      </c>
      <c r="F52">
        <v>2</v>
      </c>
      <c r="G52" s="1">
        <v>27594</v>
      </c>
      <c r="H52" s="8" t="s">
        <v>1449</v>
      </c>
      <c r="I52" s="8" t="s">
        <v>1791</v>
      </c>
    </row>
    <row r="53" spans="1:9" x14ac:dyDescent="0.25">
      <c r="A53" s="8" t="s">
        <v>1443</v>
      </c>
      <c r="B53" s="8" t="s">
        <v>1444</v>
      </c>
      <c r="C53" s="8" t="s">
        <v>538</v>
      </c>
      <c r="D53" s="8" t="s">
        <v>1440</v>
      </c>
      <c r="E53" s="1">
        <v>40137</v>
      </c>
      <c r="F53">
        <v>5</v>
      </c>
      <c r="G53" s="1">
        <v>32752</v>
      </c>
      <c r="H53" s="8" t="s">
        <v>1441</v>
      </c>
      <c r="I53" s="8" t="s">
        <v>1442</v>
      </c>
    </row>
    <row r="54" spans="1:9" x14ac:dyDescent="0.25">
      <c r="A54" s="8" t="s">
        <v>1650</v>
      </c>
      <c r="B54" s="8" t="s">
        <v>758</v>
      </c>
      <c r="C54" s="8" t="s">
        <v>1651</v>
      </c>
      <c r="D54" s="8" t="s">
        <v>1652</v>
      </c>
      <c r="E54" s="1">
        <v>40141</v>
      </c>
      <c r="F54">
        <v>5</v>
      </c>
      <c r="G54" s="1">
        <v>33199</v>
      </c>
      <c r="H54" s="8" t="s">
        <v>1457</v>
      </c>
      <c r="I54" s="8" t="s">
        <v>1653</v>
      </c>
    </row>
    <row r="55" spans="1:9" x14ac:dyDescent="0.25">
      <c r="A55" s="8" t="s">
        <v>1771</v>
      </c>
      <c r="B55" s="8" t="s">
        <v>1772</v>
      </c>
      <c r="C55" s="8" t="s">
        <v>308</v>
      </c>
      <c r="D55" s="8" t="s">
        <v>1466</v>
      </c>
      <c r="E55" s="1">
        <v>40238</v>
      </c>
      <c r="F55">
        <v>1</v>
      </c>
      <c r="G55" s="1">
        <v>32109</v>
      </c>
      <c r="H55" s="8" t="s">
        <v>319</v>
      </c>
      <c r="I55" s="8" t="s">
        <v>1106</v>
      </c>
    </row>
    <row r="56" spans="1:9" x14ac:dyDescent="0.25">
      <c r="A56" s="8" t="s">
        <v>1955</v>
      </c>
      <c r="B56" s="8" t="s">
        <v>1956</v>
      </c>
      <c r="C56" s="8" t="s">
        <v>1957</v>
      </c>
      <c r="D56" s="8" t="s">
        <v>1493</v>
      </c>
      <c r="E56" s="1">
        <v>40266</v>
      </c>
      <c r="F56">
        <v>3</v>
      </c>
      <c r="G56" s="1">
        <v>30729</v>
      </c>
      <c r="H56" s="8" t="s">
        <v>1494</v>
      </c>
      <c r="I56" s="8" t="s">
        <v>1676</v>
      </c>
    </row>
    <row r="57" spans="1:9" x14ac:dyDescent="0.25">
      <c r="A57" s="8" t="s">
        <v>1869</v>
      </c>
      <c r="B57" s="8" t="s">
        <v>1870</v>
      </c>
      <c r="C57" s="8" t="s">
        <v>1871</v>
      </c>
      <c r="D57" s="8" t="s">
        <v>1643</v>
      </c>
      <c r="E57" s="1">
        <v>40427</v>
      </c>
      <c r="F57">
        <v>3</v>
      </c>
      <c r="G57" s="1">
        <v>29022</v>
      </c>
      <c r="H57" s="8" t="s">
        <v>1457</v>
      </c>
      <c r="I57" s="8" t="s">
        <v>1872</v>
      </c>
    </row>
    <row r="58" spans="1:9" x14ac:dyDescent="0.25">
      <c r="A58" s="8" t="s">
        <v>1577</v>
      </c>
      <c r="B58" s="8" t="s">
        <v>1578</v>
      </c>
      <c r="C58" s="8" t="s">
        <v>682</v>
      </c>
      <c r="D58" s="8" t="s">
        <v>1570</v>
      </c>
      <c r="E58" s="1">
        <v>40756</v>
      </c>
      <c r="F58">
        <v>4</v>
      </c>
      <c r="G58" s="1">
        <v>33935</v>
      </c>
      <c r="H58" s="8" t="s">
        <v>689</v>
      </c>
      <c r="I58" s="8" t="s">
        <v>1576</v>
      </c>
    </row>
    <row r="59" spans="1:9" x14ac:dyDescent="0.25">
      <c r="A59" s="8" t="s">
        <v>1941</v>
      </c>
      <c r="B59" s="8" t="s">
        <v>1942</v>
      </c>
      <c r="C59" s="8" t="s">
        <v>1943</v>
      </c>
      <c r="D59" s="8" t="s">
        <v>1504</v>
      </c>
      <c r="E59" s="1">
        <v>40777</v>
      </c>
      <c r="F59">
        <v>5</v>
      </c>
      <c r="G59" s="1">
        <v>32404</v>
      </c>
      <c r="H59" s="8" t="s">
        <v>1457</v>
      </c>
      <c r="I59" s="8" t="s">
        <v>1697</v>
      </c>
    </row>
    <row r="60" spans="1:9" x14ac:dyDescent="0.25">
      <c r="A60" s="8" t="s">
        <v>1574</v>
      </c>
      <c r="B60" s="8" t="s">
        <v>1575</v>
      </c>
      <c r="C60" s="8" t="s">
        <v>697</v>
      </c>
      <c r="D60" s="8" t="s">
        <v>1570</v>
      </c>
      <c r="E60" s="1">
        <v>40830</v>
      </c>
      <c r="F60">
        <v>2</v>
      </c>
      <c r="G60" s="1">
        <v>28167</v>
      </c>
      <c r="H60" s="8" t="s">
        <v>689</v>
      </c>
      <c r="I60" s="8" t="s">
        <v>1576</v>
      </c>
    </row>
    <row r="61" spans="1:9" x14ac:dyDescent="0.25">
      <c r="A61" s="8" t="s">
        <v>1611</v>
      </c>
      <c r="B61" s="8" t="s">
        <v>1612</v>
      </c>
      <c r="C61" s="8" t="s">
        <v>1613</v>
      </c>
      <c r="D61" s="8" t="s">
        <v>1608</v>
      </c>
      <c r="E61" s="1">
        <v>40842</v>
      </c>
      <c r="F61">
        <v>4</v>
      </c>
      <c r="G61" s="1">
        <v>26138</v>
      </c>
      <c r="H61" s="8" t="s">
        <v>1609</v>
      </c>
      <c r="I61" s="8" t="s">
        <v>1610</v>
      </c>
    </row>
    <row r="62" spans="1:9" x14ac:dyDescent="0.25">
      <c r="A62" s="8" t="s">
        <v>1717</v>
      </c>
      <c r="B62" s="8" t="s">
        <v>1718</v>
      </c>
      <c r="C62" s="8" t="s">
        <v>1142</v>
      </c>
      <c r="D62" s="8" t="s">
        <v>1608</v>
      </c>
      <c r="E62" s="1">
        <v>40842</v>
      </c>
      <c r="F62">
        <v>3</v>
      </c>
      <c r="G62" s="1">
        <v>28085</v>
      </c>
      <c r="H62" s="8" t="s">
        <v>1609</v>
      </c>
      <c r="I62" s="8" t="s">
        <v>1716</v>
      </c>
    </row>
    <row r="63" spans="1:9" x14ac:dyDescent="0.25">
      <c r="A63" s="8" t="s">
        <v>1865</v>
      </c>
      <c r="B63" s="8" t="s">
        <v>1866</v>
      </c>
      <c r="C63" s="8" t="s">
        <v>1867</v>
      </c>
      <c r="D63" s="8" t="s">
        <v>1531</v>
      </c>
      <c r="E63" s="1">
        <v>40909</v>
      </c>
      <c r="F63">
        <v>6</v>
      </c>
      <c r="G63" s="1">
        <v>32762</v>
      </c>
      <c r="H63" s="8" t="s">
        <v>1457</v>
      </c>
      <c r="I63" s="8" t="s">
        <v>1868</v>
      </c>
    </row>
    <row r="64" spans="1:9" x14ac:dyDescent="0.25">
      <c r="A64" s="8" t="s">
        <v>1645</v>
      </c>
      <c r="B64" s="8" t="s">
        <v>1646</v>
      </c>
      <c r="C64" s="8" t="s">
        <v>1647</v>
      </c>
      <c r="D64" s="8" t="s">
        <v>1648</v>
      </c>
      <c r="E64" s="1">
        <v>41169</v>
      </c>
      <c r="F64">
        <v>7</v>
      </c>
      <c r="G64" s="1">
        <v>32038</v>
      </c>
      <c r="H64" s="8" t="s">
        <v>1457</v>
      </c>
      <c r="I64" s="8" t="s">
        <v>1649</v>
      </c>
    </row>
    <row r="65" spans="1:9" x14ac:dyDescent="0.25">
      <c r="A65" s="8" t="s">
        <v>1505</v>
      </c>
      <c r="B65" s="8" t="s">
        <v>1506</v>
      </c>
      <c r="C65" s="8" t="s">
        <v>1507</v>
      </c>
      <c r="D65" s="8" t="s">
        <v>1486</v>
      </c>
      <c r="E65" s="1">
        <v>41555</v>
      </c>
      <c r="F65">
        <v>4</v>
      </c>
      <c r="G65" s="1">
        <v>32462</v>
      </c>
      <c r="H65" s="8" t="s">
        <v>1457</v>
      </c>
      <c r="I65" s="8" t="s">
        <v>1508</v>
      </c>
    </row>
    <row r="66" spans="1:9" x14ac:dyDescent="0.25">
      <c r="A66" s="8" t="s">
        <v>1702</v>
      </c>
      <c r="B66" s="8" t="s">
        <v>1703</v>
      </c>
      <c r="C66" s="8" t="s">
        <v>1704</v>
      </c>
      <c r="D66" s="8" t="s">
        <v>1504</v>
      </c>
      <c r="E66" s="1">
        <v>41852</v>
      </c>
      <c r="F66">
        <v>4</v>
      </c>
      <c r="G66" s="1">
        <v>33346</v>
      </c>
      <c r="H66" s="8" t="s">
        <v>1457</v>
      </c>
      <c r="I66" s="8" t="s">
        <v>1697</v>
      </c>
    </row>
    <row r="67" spans="1:9" x14ac:dyDescent="0.25">
      <c r="A67" s="8" t="s">
        <v>1781</v>
      </c>
      <c r="B67" s="8" t="s">
        <v>1782</v>
      </c>
      <c r="C67" s="8" t="s">
        <v>1783</v>
      </c>
      <c r="D67" s="8" t="s">
        <v>1643</v>
      </c>
      <c r="E67" s="1">
        <v>41852</v>
      </c>
      <c r="F67">
        <v>2</v>
      </c>
      <c r="G67" s="1">
        <v>28736</v>
      </c>
      <c r="H67" s="8" t="s">
        <v>1457</v>
      </c>
      <c r="I67" s="8" t="s">
        <v>1784</v>
      </c>
    </row>
    <row r="68" spans="1:9" x14ac:dyDescent="0.25">
      <c r="A68" s="8" t="s">
        <v>1711</v>
      </c>
      <c r="B68" s="8" t="s">
        <v>1712</v>
      </c>
      <c r="C68" s="8" t="s">
        <v>1713</v>
      </c>
      <c r="D68" s="8" t="s">
        <v>1499</v>
      </c>
      <c r="E68" s="1">
        <v>41869</v>
      </c>
      <c r="F68">
        <v>4</v>
      </c>
      <c r="G68" s="1">
        <v>31621</v>
      </c>
      <c r="H68" s="8" t="s">
        <v>1457</v>
      </c>
      <c r="I68" s="8" t="s">
        <v>1697</v>
      </c>
    </row>
    <row r="69" spans="1:9" x14ac:dyDescent="0.25">
      <c r="A69" s="8" t="s">
        <v>1906</v>
      </c>
      <c r="B69" s="8" t="s">
        <v>1907</v>
      </c>
      <c r="C69" s="8" t="s">
        <v>1908</v>
      </c>
      <c r="D69" s="8" t="s">
        <v>1909</v>
      </c>
      <c r="E69" s="1">
        <v>42064</v>
      </c>
      <c r="F69">
        <v>20</v>
      </c>
      <c r="G69" s="1">
        <v>24512</v>
      </c>
      <c r="H69" s="8" t="s">
        <v>1457</v>
      </c>
      <c r="I69" s="8" t="s">
        <v>1910</v>
      </c>
    </row>
    <row r="70" spans="1:9" x14ac:dyDescent="0.25">
      <c r="A70" s="8" t="s">
        <v>1488</v>
      </c>
      <c r="B70" s="8" t="s">
        <v>1489</v>
      </c>
      <c r="C70" s="8" t="s">
        <v>1490</v>
      </c>
      <c r="D70" s="8" t="s">
        <v>1486</v>
      </c>
      <c r="E70" s="1">
        <v>42065</v>
      </c>
      <c r="F70">
        <v>6</v>
      </c>
      <c r="G70" s="1">
        <v>30659</v>
      </c>
      <c r="H70" s="8" t="s">
        <v>1457</v>
      </c>
      <c r="I70" s="8" t="s">
        <v>1487</v>
      </c>
    </row>
    <row r="71" spans="1:9" x14ac:dyDescent="0.25">
      <c r="A71" s="8" t="s">
        <v>1801</v>
      </c>
      <c r="B71" s="8" t="s">
        <v>1802</v>
      </c>
      <c r="C71" s="8" t="s">
        <v>1803</v>
      </c>
      <c r="D71" s="8" t="s">
        <v>1531</v>
      </c>
      <c r="E71" s="1">
        <v>42149</v>
      </c>
      <c r="F71">
        <v>6</v>
      </c>
      <c r="G71" s="1">
        <v>25936</v>
      </c>
      <c r="H71" s="8" t="s">
        <v>1457</v>
      </c>
      <c r="I71" s="8" t="s">
        <v>1804</v>
      </c>
    </row>
    <row r="72" spans="1:9" x14ac:dyDescent="0.25">
      <c r="A72" s="8" t="s">
        <v>1694</v>
      </c>
      <c r="B72" s="8" t="s">
        <v>1695</v>
      </c>
      <c r="C72" s="8" t="s">
        <v>1696</v>
      </c>
      <c r="D72" s="8" t="s">
        <v>1504</v>
      </c>
      <c r="E72" s="1">
        <v>42201</v>
      </c>
      <c r="F72">
        <v>3</v>
      </c>
      <c r="G72" s="1">
        <v>32637</v>
      </c>
      <c r="H72" s="8" t="s">
        <v>1457</v>
      </c>
      <c r="I72" s="8" t="s">
        <v>1697</v>
      </c>
    </row>
    <row r="73" spans="1:9" x14ac:dyDescent="0.25">
      <c r="A73" s="8" t="s">
        <v>1528</v>
      </c>
      <c r="B73" s="8" t="s">
        <v>1529</v>
      </c>
      <c r="C73" s="8" t="s">
        <v>1530</v>
      </c>
      <c r="D73" s="8" t="s">
        <v>1531</v>
      </c>
      <c r="E73" s="1">
        <v>42240</v>
      </c>
      <c r="F73">
        <v>10</v>
      </c>
      <c r="G73" s="1">
        <v>32246</v>
      </c>
      <c r="H73" s="8" t="s">
        <v>1457</v>
      </c>
      <c r="I73" s="8" t="s">
        <v>1532</v>
      </c>
    </row>
    <row r="74" spans="1:9" x14ac:dyDescent="0.25">
      <c r="A74" s="8" t="s">
        <v>1805</v>
      </c>
      <c r="B74" s="8" t="s">
        <v>1806</v>
      </c>
      <c r="C74" s="8" t="s">
        <v>1807</v>
      </c>
      <c r="D74" s="8" t="s">
        <v>1808</v>
      </c>
      <c r="E74" s="1">
        <v>42339</v>
      </c>
      <c r="F74">
        <v>15</v>
      </c>
      <c r="G74" s="1">
        <v>33597</v>
      </c>
      <c r="H74" s="8" t="s">
        <v>1457</v>
      </c>
      <c r="I74" s="8" t="s">
        <v>1809</v>
      </c>
    </row>
    <row r="75" spans="1:9" x14ac:dyDescent="0.25">
      <c r="A75" s="8" t="s">
        <v>1657</v>
      </c>
      <c r="B75" s="8" t="s">
        <v>1658</v>
      </c>
      <c r="C75" s="8" t="s">
        <v>1659</v>
      </c>
      <c r="D75" s="8" t="s">
        <v>1531</v>
      </c>
      <c r="E75" s="1">
        <v>42373</v>
      </c>
      <c r="F75">
        <v>11</v>
      </c>
      <c r="G75" s="1">
        <v>29026</v>
      </c>
      <c r="H75" s="8" t="s">
        <v>1457</v>
      </c>
      <c r="I75" s="8" t="s">
        <v>1660</v>
      </c>
    </row>
    <row r="76" spans="1:9" x14ac:dyDescent="0.25">
      <c r="A76" s="8" t="s">
        <v>1605</v>
      </c>
      <c r="B76" s="8" t="s">
        <v>1606</v>
      </c>
      <c r="C76" s="8" t="s">
        <v>1607</v>
      </c>
      <c r="D76" s="8" t="s">
        <v>1608</v>
      </c>
      <c r="E76" s="1">
        <v>42541</v>
      </c>
      <c r="F76">
        <v>2</v>
      </c>
      <c r="G76" s="1">
        <v>33428</v>
      </c>
      <c r="H76" s="8" t="s">
        <v>1609</v>
      </c>
      <c r="I76" s="8" t="s">
        <v>1610</v>
      </c>
    </row>
    <row r="77" spans="1:9" x14ac:dyDescent="0.25">
      <c r="A77" s="8" t="s">
        <v>1471</v>
      </c>
      <c r="B77" s="8" t="s">
        <v>1472</v>
      </c>
      <c r="C77" s="8" t="s">
        <v>1473</v>
      </c>
      <c r="D77" s="8" t="s">
        <v>1456</v>
      </c>
      <c r="E77" s="1">
        <v>42555</v>
      </c>
      <c r="F77">
        <v>6</v>
      </c>
      <c r="G77" s="1">
        <v>33341</v>
      </c>
      <c r="H77" s="8" t="s">
        <v>1457</v>
      </c>
      <c r="I77" s="8" t="s">
        <v>1474</v>
      </c>
    </row>
    <row r="78" spans="1:9" x14ac:dyDescent="0.25">
      <c r="A78" s="8" t="s">
        <v>1903</v>
      </c>
      <c r="B78" s="8" t="s">
        <v>1904</v>
      </c>
      <c r="C78" s="8" t="s">
        <v>1905</v>
      </c>
      <c r="D78" s="8" t="s">
        <v>1516</v>
      </c>
      <c r="E78" s="1">
        <v>42577</v>
      </c>
      <c r="F78">
        <v>-1</v>
      </c>
      <c r="G78" s="1">
        <v>32418</v>
      </c>
      <c r="H78" s="8" t="s">
        <v>183</v>
      </c>
      <c r="I78" s="8" t="s">
        <v>1527</v>
      </c>
    </row>
    <row r="79" spans="1:9" x14ac:dyDescent="0.25">
      <c r="A79" s="8" t="s">
        <v>1934</v>
      </c>
      <c r="B79" s="8" t="s">
        <v>1935</v>
      </c>
      <c r="C79" s="8" t="s">
        <v>454</v>
      </c>
      <c r="D79" s="8" t="s">
        <v>1493</v>
      </c>
      <c r="E79" s="1">
        <v>42604</v>
      </c>
      <c r="F79">
        <v>3</v>
      </c>
      <c r="G79" s="1">
        <v>32683</v>
      </c>
      <c r="H79" s="8" t="s">
        <v>1494</v>
      </c>
      <c r="I79" s="8" t="s">
        <v>1617</v>
      </c>
    </row>
    <row r="80" spans="1:9" x14ac:dyDescent="0.25">
      <c r="A80" s="8" t="s">
        <v>1708</v>
      </c>
      <c r="B80" s="8" t="s">
        <v>1709</v>
      </c>
      <c r="C80" s="8" t="s">
        <v>1710</v>
      </c>
      <c r="D80" s="8" t="s">
        <v>1499</v>
      </c>
      <c r="E80" s="1">
        <v>42695</v>
      </c>
      <c r="F80">
        <v>4</v>
      </c>
      <c r="G80" s="1">
        <v>31752</v>
      </c>
      <c r="H80" s="8" t="s">
        <v>1457</v>
      </c>
      <c r="I80" s="8" t="s">
        <v>1697</v>
      </c>
    </row>
    <row r="81" spans="1:9" x14ac:dyDescent="0.25">
      <c r="A81" s="8" t="s">
        <v>1810</v>
      </c>
      <c r="B81" s="8" t="s">
        <v>1811</v>
      </c>
      <c r="C81" s="8" t="s">
        <v>1113</v>
      </c>
      <c r="D81" s="8" t="s">
        <v>1808</v>
      </c>
      <c r="E81" s="1">
        <v>42709</v>
      </c>
      <c r="F81">
        <v>1</v>
      </c>
      <c r="G81" s="1">
        <v>33939</v>
      </c>
      <c r="H81" s="8" t="s">
        <v>1457</v>
      </c>
      <c r="I81" s="8" t="s">
        <v>1812</v>
      </c>
    </row>
    <row r="82" spans="1:9" x14ac:dyDescent="0.25">
      <c r="A82" s="8" t="s">
        <v>1698</v>
      </c>
      <c r="B82" s="8" t="s">
        <v>1699</v>
      </c>
      <c r="C82" s="8" t="s">
        <v>1700</v>
      </c>
      <c r="D82" s="8" t="s">
        <v>1701</v>
      </c>
      <c r="E82" s="1">
        <v>42738</v>
      </c>
      <c r="F82">
        <v>4</v>
      </c>
      <c r="G82" s="1">
        <v>34671</v>
      </c>
      <c r="H82" s="8" t="s">
        <v>1457</v>
      </c>
      <c r="I82" s="8" t="s">
        <v>1697</v>
      </c>
    </row>
    <row r="83" spans="1:9" x14ac:dyDescent="0.25">
      <c r="A83" s="8" t="s">
        <v>1931</v>
      </c>
      <c r="B83" s="8" t="s">
        <v>1932</v>
      </c>
      <c r="C83" s="8" t="s">
        <v>1933</v>
      </c>
      <c r="D83" s="8" t="s">
        <v>1448</v>
      </c>
      <c r="E83" s="1">
        <v>42767</v>
      </c>
      <c r="F83">
        <v>1</v>
      </c>
      <c r="G83" s="1">
        <v>32300</v>
      </c>
      <c r="H83" s="8" t="s">
        <v>1449</v>
      </c>
      <c r="I83" s="8" t="s">
        <v>1791</v>
      </c>
    </row>
    <row r="84" spans="1:9" x14ac:dyDescent="0.25">
      <c r="A84" s="8" t="s">
        <v>1467</v>
      </c>
      <c r="B84" s="8" t="s">
        <v>1468</v>
      </c>
      <c r="C84" s="8" t="s">
        <v>1469</v>
      </c>
      <c r="D84" s="8" t="s">
        <v>1456</v>
      </c>
      <c r="E84" s="1">
        <v>42849</v>
      </c>
      <c r="F84">
        <v>11</v>
      </c>
      <c r="G84" s="1">
        <v>32734</v>
      </c>
      <c r="H84" s="8" t="s">
        <v>1457</v>
      </c>
      <c r="I84" s="8" t="s">
        <v>1470</v>
      </c>
    </row>
    <row r="85" spans="1:9" x14ac:dyDescent="0.25">
      <c r="A85" s="8" t="s">
        <v>1481</v>
      </c>
      <c r="B85" s="8" t="s">
        <v>1482</v>
      </c>
      <c r="C85" s="8" t="s">
        <v>174</v>
      </c>
      <c r="D85" s="8" t="s">
        <v>1448</v>
      </c>
      <c r="E85" s="1">
        <v>42917</v>
      </c>
      <c r="F85">
        <v>9</v>
      </c>
      <c r="G85" s="1">
        <v>28282</v>
      </c>
      <c r="H85" s="8" t="s">
        <v>183</v>
      </c>
      <c r="I85" s="8" t="s">
        <v>185</v>
      </c>
    </row>
    <row r="86" spans="1:9" x14ac:dyDescent="0.25">
      <c r="A86" s="8" t="s">
        <v>1958</v>
      </c>
      <c r="B86" s="8" t="s">
        <v>1959</v>
      </c>
      <c r="C86" s="8" t="s">
        <v>504</v>
      </c>
      <c r="D86" s="8" t="s">
        <v>1493</v>
      </c>
      <c r="E86" s="1">
        <v>42918</v>
      </c>
      <c r="F86">
        <v>2</v>
      </c>
      <c r="G86" s="1">
        <v>31658</v>
      </c>
      <c r="H86" s="8" t="s">
        <v>1494</v>
      </c>
      <c r="I86" s="8" t="s">
        <v>1676</v>
      </c>
    </row>
    <row r="87" spans="1:9" x14ac:dyDescent="0.25">
      <c r="A87" s="8" t="s">
        <v>1745</v>
      </c>
      <c r="B87" s="8" t="s">
        <v>1746</v>
      </c>
      <c r="C87" s="8" t="s">
        <v>147</v>
      </c>
      <c r="D87" s="8" t="s">
        <v>1582</v>
      </c>
      <c r="E87" s="1">
        <v>42919</v>
      </c>
      <c r="F87">
        <v>2</v>
      </c>
      <c r="G87" s="1">
        <v>34538</v>
      </c>
      <c r="H87" s="8" t="s">
        <v>68</v>
      </c>
      <c r="I87" s="8" t="s">
        <v>1747</v>
      </c>
    </row>
    <row r="88" spans="1:9" x14ac:dyDescent="0.25">
      <c r="A88" s="8" t="s">
        <v>1928</v>
      </c>
      <c r="B88" s="8" t="s">
        <v>1929</v>
      </c>
      <c r="C88" s="8" t="s">
        <v>1930</v>
      </c>
      <c r="D88" s="8" t="s">
        <v>1531</v>
      </c>
      <c r="E88" s="1">
        <v>43017</v>
      </c>
      <c r="F88">
        <v>11</v>
      </c>
      <c r="G88" s="1">
        <v>26678</v>
      </c>
      <c r="H88" s="8" t="s">
        <v>1457</v>
      </c>
      <c r="I88" s="8" t="s">
        <v>1660</v>
      </c>
    </row>
    <row r="89" spans="1:9" x14ac:dyDescent="0.25">
      <c r="A89" s="8" t="s">
        <v>1614</v>
      </c>
      <c r="B89" s="8" t="s">
        <v>1615</v>
      </c>
      <c r="C89" s="8" t="s">
        <v>1616</v>
      </c>
      <c r="D89" s="8" t="s">
        <v>1493</v>
      </c>
      <c r="E89" s="1">
        <v>43052</v>
      </c>
      <c r="F89">
        <v>2</v>
      </c>
      <c r="G89" s="1">
        <v>33265</v>
      </c>
      <c r="H89" s="8" t="s">
        <v>1494</v>
      </c>
      <c r="I89" s="8" t="s">
        <v>1617</v>
      </c>
    </row>
    <row r="90" spans="1:9" x14ac:dyDescent="0.25">
      <c r="A90" s="8" t="s">
        <v>1873</v>
      </c>
      <c r="B90" s="8" t="s">
        <v>1874</v>
      </c>
      <c r="C90" s="8" t="s">
        <v>1875</v>
      </c>
      <c r="D90" s="8" t="s">
        <v>1504</v>
      </c>
      <c r="E90" s="1">
        <v>43122</v>
      </c>
      <c r="F90">
        <v>1</v>
      </c>
      <c r="G90" s="1">
        <v>33536</v>
      </c>
      <c r="H90" s="8" t="s">
        <v>1457</v>
      </c>
      <c r="I90" s="8" t="s">
        <v>1500</v>
      </c>
    </row>
    <row r="91" spans="1:9" x14ac:dyDescent="0.25">
      <c r="A91" s="8" t="s">
        <v>1483</v>
      </c>
      <c r="B91" s="8" t="s">
        <v>1484</v>
      </c>
      <c r="C91" s="8" t="s">
        <v>1485</v>
      </c>
      <c r="D91" s="8" t="s">
        <v>1486</v>
      </c>
      <c r="E91" s="1">
        <v>43160</v>
      </c>
      <c r="F91">
        <v>2</v>
      </c>
      <c r="G91" s="1">
        <v>29849</v>
      </c>
      <c r="H91" s="8" t="s">
        <v>1457</v>
      </c>
      <c r="I91" s="8" t="s">
        <v>1487</v>
      </c>
    </row>
    <row r="92" spans="1:9" x14ac:dyDescent="0.25">
      <c r="A92" s="8" t="s">
        <v>1491</v>
      </c>
      <c r="B92" s="8" t="s">
        <v>1492</v>
      </c>
      <c r="C92" s="8" t="s">
        <v>466</v>
      </c>
      <c r="D92" s="8" t="s">
        <v>1493</v>
      </c>
      <c r="E92" s="1">
        <v>43227</v>
      </c>
      <c r="F92">
        <v>3</v>
      </c>
      <c r="G92" s="1">
        <v>27135</v>
      </c>
      <c r="H92" s="8" t="s">
        <v>1494</v>
      </c>
      <c r="I92" s="8" t="s">
        <v>1495</v>
      </c>
    </row>
    <row r="93" spans="1:9" x14ac:dyDescent="0.25">
      <c r="A93" s="8" t="s">
        <v>1858</v>
      </c>
      <c r="B93" s="8" t="s">
        <v>1859</v>
      </c>
      <c r="C93" s="8" t="s">
        <v>1860</v>
      </c>
      <c r="D93" s="8" t="s">
        <v>1570</v>
      </c>
      <c r="E93" s="1">
        <v>43283</v>
      </c>
      <c r="F93">
        <v>2</v>
      </c>
      <c r="G93" s="1">
        <v>29535</v>
      </c>
      <c r="H93" s="8" t="s">
        <v>689</v>
      </c>
      <c r="I93" s="8" t="s">
        <v>1571</v>
      </c>
    </row>
    <row r="94" spans="1:9" x14ac:dyDescent="0.25">
      <c r="A94" s="8" t="s">
        <v>1563</v>
      </c>
      <c r="B94" s="8" t="s">
        <v>1564</v>
      </c>
      <c r="C94" s="8" t="s">
        <v>746</v>
      </c>
      <c r="D94" s="8" t="s">
        <v>1461</v>
      </c>
      <c r="E94" s="1">
        <v>43283</v>
      </c>
      <c r="F94">
        <v>1</v>
      </c>
      <c r="G94" s="1">
        <v>35001</v>
      </c>
      <c r="H94" s="8" t="s">
        <v>757</v>
      </c>
      <c r="I94" s="8" t="s">
        <v>1562</v>
      </c>
    </row>
    <row r="95" spans="1:9" x14ac:dyDescent="0.25">
      <c r="A95" s="8" t="s">
        <v>1785</v>
      </c>
      <c r="B95" s="8" t="s">
        <v>1786</v>
      </c>
      <c r="C95" s="8" t="s">
        <v>1787</v>
      </c>
      <c r="D95" s="8" t="s">
        <v>1643</v>
      </c>
      <c r="E95" s="1">
        <v>43297</v>
      </c>
      <c r="F95">
        <v>2</v>
      </c>
      <c r="G95" s="1">
        <v>29627</v>
      </c>
      <c r="H95" s="8" t="s">
        <v>1457</v>
      </c>
      <c r="I95" s="8" t="s">
        <v>1788</v>
      </c>
    </row>
    <row r="96" spans="1:9" x14ac:dyDescent="0.25">
      <c r="A96" s="8" t="s">
        <v>1674</v>
      </c>
      <c r="B96" s="8" t="s">
        <v>1675</v>
      </c>
      <c r="C96" s="8" t="s">
        <v>1214</v>
      </c>
      <c r="D96" s="8" t="s">
        <v>1493</v>
      </c>
      <c r="E96" s="1">
        <v>43318</v>
      </c>
      <c r="F96">
        <v>3</v>
      </c>
      <c r="G96" s="1">
        <v>32675</v>
      </c>
      <c r="H96" s="8" t="s">
        <v>1494</v>
      </c>
      <c r="I96" s="8" t="s">
        <v>1676</v>
      </c>
    </row>
    <row r="97" spans="1:9" x14ac:dyDescent="0.25">
      <c r="A97" s="8" t="s">
        <v>1584</v>
      </c>
      <c r="B97" s="8" t="s">
        <v>1585</v>
      </c>
      <c r="C97" s="8" t="s">
        <v>1586</v>
      </c>
      <c r="D97" s="8" t="s">
        <v>1587</v>
      </c>
      <c r="E97" s="1">
        <v>43325</v>
      </c>
      <c r="F97">
        <v>7</v>
      </c>
      <c r="G97" s="1">
        <v>30900</v>
      </c>
      <c r="H97" s="8" t="s">
        <v>1457</v>
      </c>
      <c r="I97" s="8" t="s">
        <v>1588</v>
      </c>
    </row>
    <row r="98" spans="1:9" x14ac:dyDescent="0.25">
      <c r="A98" s="8" t="s">
        <v>1854</v>
      </c>
      <c r="B98" s="8" t="s">
        <v>1855</v>
      </c>
      <c r="C98" s="8" t="s">
        <v>1856</v>
      </c>
      <c r="D98" s="8" t="s">
        <v>1531</v>
      </c>
      <c r="E98" s="1">
        <v>43444</v>
      </c>
      <c r="F98">
        <v>7</v>
      </c>
      <c r="G98" s="1">
        <v>30226</v>
      </c>
      <c r="H98" s="8" t="s">
        <v>1457</v>
      </c>
      <c r="I98" s="8" t="s">
        <v>1857</v>
      </c>
    </row>
    <row r="99" spans="1:9" x14ac:dyDescent="0.25">
      <c r="A99" s="8" t="s">
        <v>1950</v>
      </c>
      <c r="B99" s="8" t="s">
        <v>1951</v>
      </c>
      <c r="C99" s="8" t="s">
        <v>774</v>
      </c>
      <c r="D99" s="8" t="s">
        <v>1461</v>
      </c>
      <c r="E99" s="1">
        <v>43500</v>
      </c>
      <c r="F99">
        <v>3</v>
      </c>
      <c r="G99" s="1">
        <v>34899</v>
      </c>
      <c r="H99" s="8" t="s">
        <v>757</v>
      </c>
      <c r="I99" s="8" t="s">
        <v>1562</v>
      </c>
    </row>
    <row r="100" spans="1:9" x14ac:dyDescent="0.25">
      <c r="A100" s="8" t="s">
        <v>1533</v>
      </c>
      <c r="B100" s="8" t="s">
        <v>1534</v>
      </c>
      <c r="C100" s="8" t="s">
        <v>1535</v>
      </c>
      <c r="D100" s="8" t="s">
        <v>1536</v>
      </c>
      <c r="E100" s="1">
        <v>43500</v>
      </c>
      <c r="F100">
        <v>1</v>
      </c>
      <c r="G100" s="1">
        <v>32060</v>
      </c>
      <c r="H100" s="8" t="s">
        <v>1457</v>
      </c>
      <c r="I100" s="8" t="s">
        <v>1537</v>
      </c>
    </row>
    <row r="101" spans="1:9" x14ac:dyDescent="0.25">
      <c r="A101" s="8" t="s">
        <v>1729</v>
      </c>
      <c r="B101" s="8" t="s">
        <v>1730</v>
      </c>
      <c r="C101" s="8" t="s">
        <v>331</v>
      </c>
      <c r="D101" s="8" t="s">
        <v>1466</v>
      </c>
      <c r="E101" s="1">
        <v>43500</v>
      </c>
      <c r="F101">
        <v>1</v>
      </c>
      <c r="G101" s="1">
        <v>36137</v>
      </c>
      <c r="H101" s="8" t="s">
        <v>319</v>
      </c>
      <c r="I101" s="8" t="s">
        <v>1722</v>
      </c>
    </row>
    <row r="102" spans="1:9" x14ac:dyDescent="0.25">
      <c r="A102" s="8" t="s">
        <v>1723</v>
      </c>
      <c r="B102" s="8" t="s">
        <v>1724</v>
      </c>
      <c r="C102" s="8" t="s">
        <v>1725</v>
      </c>
      <c r="D102" s="8" t="s">
        <v>1466</v>
      </c>
      <c r="E102" s="1">
        <v>43507</v>
      </c>
      <c r="F102">
        <v>1</v>
      </c>
      <c r="G102" s="1">
        <v>33854</v>
      </c>
      <c r="H102" s="8" t="s">
        <v>319</v>
      </c>
      <c r="I102" s="8" t="s">
        <v>1722</v>
      </c>
    </row>
    <row r="103" spans="1:9" x14ac:dyDescent="0.25">
      <c r="A103" s="8" t="s">
        <v>1565</v>
      </c>
      <c r="B103" s="8" t="s">
        <v>1566</v>
      </c>
      <c r="C103" s="8" t="s">
        <v>1567</v>
      </c>
      <c r="D103" s="8" t="s">
        <v>1461</v>
      </c>
      <c r="E103" s="1">
        <v>43507</v>
      </c>
      <c r="F103">
        <v>0</v>
      </c>
      <c r="G103" s="1">
        <v>35259</v>
      </c>
      <c r="H103" s="8" t="s">
        <v>757</v>
      </c>
      <c r="I103" s="8" t="s">
        <v>1562</v>
      </c>
    </row>
    <row r="104" spans="1:9" x14ac:dyDescent="0.25">
      <c r="A104" s="8" t="s">
        <v>1813</v>
      </c>
      <c r="B104" s="8" t="s">
        <v>1814</v>
      </c>
      <c r="C104" s="8" t="s">
        <v>1815</v>
      </c>
      <c r="D104" s="8" t="s">
        <v>1582</v>
      </c>
      <c r="E104" s="1">
        <v>43528</v>
      </c>
      <c r="F104">
        <v>7</v>
      </c>
      <c r="G104" s="1">
        <v>35637</v>
      </c>
      <c r="H104" s="8" t="s">
        <v>1512</v>
      </c>
      <c r="I104" s="8" t="s">
        <v>1747</v>
      </c>
    </row>
    <row r="105" spans="1:9" x14ac:dyDescent="0.25">
      <c r="A105" s="8" t="s">
        <v>1714</v>
      </c>
      <c r="B105" s="8" t="s">
        <v>1715</v>
      </c>
      <c r="C105" s="8" t="s">
        <v>622</v>
      </c>
      <c r="D105" s="8" t="s">
        <v>1608</v>
      </c>
      <c r="E105" s="1">
        <v>43528</v>
      </c>
      <c r="F105">
        <v>4</v>
      </c>
      <c r="G105" s="1">
        <v>28531</v>
      </c>
      <c r="H105" s="8" t="s">
        <v>1609</v>
      </c>
      <c r="I105" s="8" t="s">
        <v>1716</v>
      </c>
    </row>
    <row r="106" spans="1:9" x14ac:dyDescent="0.25">
      <c r="A106" s="8" t="s">
        <v>1731</v>
      </c>
      <c r="B106" s="8" t="s">
        <v>1732</v>
      </c>
      <c r="C106" s="8" t="s">
        <v>1733</v>
      </c>
      <c r="D106" s="8" t="s">
        <v>1582</v>
      </c>
      <c r="E106" s="1">
        <v>43528</v>
      </c>
      <c r="F106">
        <v>4</v>
      </c>
      <c r="G106" s="1">
        <v>29382</v>
      </c>
      <c r="H106" s="8" t="s">
        <v>68</v>
      </c>
      <c r="I106" s="8" t="s">
        <v>1734</v>
      </c>
    </row>
    <row r="107" spans="1:9" x14ac:dyDescent="0.25">
      <c r="A107" s="8" t="s">
        <v>1755</v>
      </c>
      <c r="B107" s="8" t="s">
        <v>1756</v>
      </c>
      <c r="C107" s="8" t="s">
        <v>1757</v>
      </c>
      <c r="D107" s="8" t="s">
        <v>1582</v>
      </c>
      <c r="E107" s="1">
        <v>43528</v>
      </c>
      <c r="F107">
        <v>4</v>
      </c>
      <c r="G107" s="1">
        <v>35464</v>
      </c>
      <c r="H107" s="8" t="s">
        <v>1512</v>
      </c>
      <c r="I107" s="8" t="s">
        <v>1754</v>
      </c>
    </row>
    <row r="108" spans="1:9" x14ac:dyDescent="0.25">
      <c r="A108" s="8" t="s">
        <v>1845</v>
      </c>
      <c r="B108" s="8" t="s">
        <v>1846</v>
      </c>
      <c r="C108" s="8" t="s">
        <v>200</v>
      </c>
      <c r="D108" s="8" t="s">
        <v>1511</v>
      </c>
      <c r="E108" s="1">
        <v>43528</v>
      </c>
      <c r="F108">
        <v>4</v>
      </c>
      <c r="G108" s="1">
        <v>35791</v>
      </c>
      <c r="H108" s="8" t="s">
        <v>68</v>
      </c>
      <c r="I108" s="8" t="s">
        <v>1583</v>
      </c>
    </row>
    <row r="109" spans="1:9" x14ac:dyDescent="0.25">
      <c r="A109" s="8" t="s">
        <v>1879</v>
      </c>
      <c r="B109" s="8" t="s">
        <v>1880</v>
      </c>
      <c r="C109" s="8" t="s">
        <v>790</v>
      </c>
      <c r="D109" s="8" t="s">
        <v>1448</v>
      </c>
      <c r="E109" s="1">
        <v>43528</v>
      </c>
      <c r="F109">
        <v>3</v>
      </c>
      <c r="G109" s="1">
        <v>35307</v>
      </c>
      <c r="H109" s="8" t="s">
        <v>1449</v>
      </c>
      <c r="I109" s="8" t="s">
        <v>1691</v>
      </c>
    </row>
    <row r="110" spans="1:9" x14ac:dyDescent="0.25">
      <c r="A110" s="8" t="s">
        <v>1922</v>
      </c>
      <c r="B110" s="8" t="s">
        <v>1923</v>
      </c>
      <c r="C110" s="8" t="s">
        <v>1924</v>
      </c>
      <c r="D110" s="8" t="s">
        <v>1440</v>
      </c>
      <c r="E110" s="1">
        <v>43528</v>
      </c>
      <c r="F110">
        <v>3</v>
      </c>
      <c r="G110" s="1">
        <v>21302</v>
      </c>
      <c r="H110" s="8" t="s">
        <v>1441</v>
      </c>
      <c r="I110" s="8" t="s">
        <v>1442</v>
      </c>
    </row>
    <row r="111" spans="1:9" x14ac:dyDescent="0.25">
      <c r="A111" s="8" t="s">
        <v>1765</v>
      </c>
      <c r="B111" s="8" t="s">
        <v>1766</v>
      </c>
      <c r="C111" s="8" t="s">
        <v>938</v>
      </c>
      <c r="D111" s="8" t="s">
        <v>1582</v>
      </c>
      <c r="E111" s="1">
        <v>43528</v>
      </c>
      <c r="F111">
        <v>2</v>
      </c>
      <c r="G111" s="1">
        <v>35004</v>
      </c>
      <c r="H111" s="8" t="s">
        <v>68</v>
      </c>
      <c r="I111" s="8" t="s">
        <v>1767</v>
      </c>
    </row>
    <row r="112" spans="1:9" x14ac:dyDescent="0.25">
      <c r="A112" s="8" t="s">
        <v>1572</v>
      </c>
      <c r="B112" s="8" t="s">
        <v>1573</v>
      </c>
      <c r="C112" s="8" t="s">
        <v>911</v>
      </c>
      <c r="D112" s="8" t="s">
        <v>1570</v>
      </c>
      <c r="E112" s="1">
        <v>43528</v>
      </c>
      <c r="F112">
        <v>2</v>
      </c>
      <c r="G112" s="1">
        <v>34214</v>
      </c>
      <c r="H112" s="8" t="s">
        <v>689</v>
      </c>
      <c r="I112" s="8" t="s">
        <v>1571</v>
      </c>
    </row>
    <row r="113" spans="1:9" x14ac:dyDescent="0.25">
      <c r="A113" s="8" t="s">
        <v>1579</v>
      </c>
      <c r="B113" s="8" t="s">
        <v>1580</v>
      </c>
      <c r="C113" s="8" t="s">
        <v>1581</v>
      </c>
      <c r="D113" s="8" t="s">
        <v>1582</v>
      </c>
      <c r="E113" s="1">
        <v>43528</v>
      </c>
      <c r="F113">
        <v>2</v>
      </c>
      <c r="G113" s="1">
        <v>30885</v>
      </c>
      <c r="H113" s="8" t="s">
        <v>68</v>
      </c>
      <c r="I113" s="8" t="s">
        <v>1583</v>
      </c>
    </row>
    <row r="114" spans="1:9" x14ac:dyDescent="0.25">
      <c r="A114" s="8" t="s">
        <v>1598</v>
      </c>
      <c r="B114" s="8" t="s">
        <v>1599</v>
      </c>
      <c r="C114" s="8" t="s">
        <v>430</v>
      </c>
      <c r="D114" s="8" t="s">
        <v>1592</v>
      </c>
      <c r="E114" s="1">
        <v>43528</v>
      </c>
      <c r="F114">
        <v>2</v>
      </c>
      <c r="G114" s="1">
        <v>35231</v>
      </c>
      <c r="H114" s="8" t="s">
        <v>1593</v>
      </c>
      <c r="I114" s="8" t="s">
        <v>1594</v>
      </c>
    </row>
    <row r="115" spans="1:9" x14ac:dyDescent="0.25">
      <c r="A115" s="8" t="s">
        <v>1669</v>
      </c>
      <c r="B115" s="8" t="s">
        <v>1670</v>
      </c>
      <c r="C115" s="8" t="s">
        <v>1671</v>
      </c>
      <c r="D115" s="8" t="s">
        <v>1516</v>
      </c>
      <c r="E115" s="1">
        <v>43528</v>
      </c>
      <c r="F115">
        <v>2</v>
      </c>
      <c r="G115" s="1">
        <v>32032</v>
      </c>
      <c r="H115" s="8" t="s">
        <v>68</v>
      </c>
      <c r="I115" s="8" t="s">
        <v>1668</v>
      </c>
    </row>
    <row r="116" spans="1:9" x14ac:dyDescent="0.25">
      <c r="A116" s="8" t="s">
        <v>1672</v>
      </c>
      <c r="B116" s="8" t="s">
        <v>1673</v>
      </c>
      <c r="C116" s="8" t="s">
        <v>383</v>
      </c>
      <c r="D116" s="8" t="s">
        <v>1582</v>
      </c>
      <c r="E116" s="1">
        <v>43528</v>
      </c>
      <c r="F116">
        <v>2</v>
      </c>
      <c r="G116" s="1">
        <v>35049</v>
      </c>
      <c r="H116" s="8" t="s">
        <v>68</v>
      </c>
      <c r="I116" s="8" t="s">
        <v>1668</v>
      </c>
    </row>
    <row r="117" spans="1:9" x14ac:dyDescent="0.25">
      <c r="A117" s="8" t="s">
        <v>1752</v>
      </c>
      <c r="B117" s="8" t="s">
        <v>1753</v>
      </c>
      <c r="C117" s="8" t="s">
        <v>513</v>
      </c>
      <c r="D117" s="8" t="s">
        <v>1511</v>
      </c>
      <c r="E117" s="1">
        <v>43528</v>
      </c>
      <c r="F117">
        <v>2</v>
      </c>
      <c r="G117" s="1">
        <v>36320</v>
      </c>
      <c r="H117" s="8" t="s">
        <v>1512</v>
      </c>
      <c r="I117" s="8" t="s">
        <v>1754</v>
      </c>
    </row>
    <row r="118" spans="1:9" x14ac:dyDescent="0.25">
      <c r="A118" s="8" t="s">
        <v>1758</v>
      </c>
      <c r="B118" s="8" t="s">
        <v>1759</v>
      </c>
      <c r="C118" s="8" t="s">
        <v>1760</v>
      </c>
      <c r="D118" s="8" t="s">
        <v>1511</v>
      </c>
      <c r="E118" s="1">
        <v>43528</v>
      </c>
      <c r="F118">
        <v>2</v>
      </c>
      <c r="G118" s="1">
        <v>35926</v>
      </c>
      <c r="H118" s="8" t="s">
        <v>1512</v>
      </c>
      <c r="I118" s="8" t="s">
        <v>1754</v>
      </c>
    </row>
    <row r="119" spans="1:9" x14ac:dyDescent="0.25">
      <c r="A119" s="8" t="s">
        <v>1892</v>
      </c>
      <c r="B119" s="8" t="s">
        <v>1893</v>
      </c>
      <c r="C119" s="8" t="s">
        <v>82</v>
      </c>
      <c r="D119" s="8" t="s">
        <v>1511</v>
      </c>
      <c r="E119" s="1">
        <v>43528</v>
      </c>
      <c r="F119">
        <v>2</v>
      </c>
      <c r="G119" s="1">
        <v>35179</v>
      </c>
      <c r="H119" s="8" t="s">
        <v>68</v>
      </c>
      <c r="I119" s="8" t="s">
        <v>1894</v>
      </c>
    </row>
    <row r="120" spans="1:9" x14ac:dyDescent="0.25">
      <c r="A120" s="8" t="s">
        <v>1459</v>
      </c>
      <c r="B120" s="8" t="s">
        <v>1460</v>
      </c>
      <c r="C120" s="8" t="s">
        <v>763</v>
      </c>
      <c r="D120" s="8" t="s">
        <v>1461</v>
      </c>
      <c r="E120" s="1">
        <v>43528</v>
      </c>
      <c r="F120">
        <v>1</v>
      </c>
      <c r="G120" s="1">
        <v>34135</v>
      </c>
      <c r="H120" s="8" t="s">
        <v>757</v>
      </c>
      <c r="I120" s="8" t="s">
        <v>1562</v>
      </c>
    </row>
    <row r="121" spans="1:9" x14ac:dyDescent="0.25">
      <c r="A121" s="8" t="s">
        <v>1560</v>
      </c>
      <c r="B121" s="8" t="s">
        <v>1561</v>
      </c>
      <c r="C121" s="8" t="s">
        <v>1179</v>
      </c>
      <c r="D121" s="8" t="s">
        <v>1461</v>
      </c>
      <c r="E121" s="1">
        <v>43528</v>
      </c>
      <c r="F121">
        <v>1</v>
      </c>
      <c r="G121" s="1">
        <v>35478</v>
      </c>
      <c r="H121" s="8" t="s">
        <v>1080</v>
      </c>
      <c r="I121" s="8" t="s">
        <v>1562</v>
      </c>
    </row>
    <row r="122" spans="1:9" x14ac:dyDescent="0.25">
      <c r="A122" s="8" t="s">
        <v>1726</v>
      </c>
      <c r="B122" s="8" t="s">
        <v>1727</v>
      </c>
      <c r="C122" s="8" t="s">
        <v>1728</v>
      </c>
      <c r="D122" s="8" t="s">
        <v>1466</v>
      </c>
      <c r="E122" s="1">
        <v>43556</v>
      </c>
      <c r="F122">
        <v>12</v>
      </c>
      <c r="G122" s="1">
        <v>35751</v>
      </c>
      <c r="H122" s="8" t="s">
        <v>319</v>
      </c>
      <c r="I122" s="8" t="s">
        <v>1722</v>
      </c>
    </row>
    <row r="123" spans="1:9" x14ac:dyDescent="0.25">
      <c r="A123" s="8" t="s">
        <v>1916</v>
      </c>
      <c r="B123" s="8" t="s">
        <v>1917</v>
      </c>
      <c r="C123" s="8" t="s">
        <v>1918</v>
      </c>
      <c r="D123" s="8" t="s">
        <v>1504</v>
      </c>
      <c r="E123" s="1">
        <v>43619</v>
      </c>
      <c r="F123">
        <v>2</v>
      </c>
      <c r="G123" s="1">
        <v>33159</v>
      </c>
      <c r="H123" s="8" t="s">
        <v>1457</v>
      </c>
      <c r="I123" s="8" t="s">
        <v>1697</v>
      </c>
    </row>
    <row r="124" spans="1:9" x14ac:dyDescent="0.25">
      <c r="A124" s="8" t="s">
        <v>1438</v>
      </c>
      <c r="B124" s="8" t="s">
        <v>1439</v>
      </c>
      <c r="C124" s="8" t="s">
        <v>569</v>
      </c>
      <c r="D124" s="8" t="s">
        <v>1440</v>
      </c>
      <c r="E124" s="1">
        <v>43626</v>
      </c>
      <c r="F124">
        <v>2</v>
      </c>
      <c r="G124" s="1">
        <v>33922</v>
      </c>
      <c r="H124" s="8" t="s">
        <v>1441</v>
      </c>
      <c r="I124" s="8" t="s">
        <v>1442</v>
      </c>
    </row>
    <row r="125" spans="1:9" x14ac:dyDescent="0.25">
      <c r="A125" s="8" t="s">
        <v>1705</v>
      </c>
      <c r="B125" s="8" t="s">
        <v>1706</v>
      </c>
      <c r="C125" s="8" t="s">
        <v>1707</v>
      </c>
      <c r="D125" s="8" t="s">
        <v>1499</v>
      </c>
      <c r="E125" s="1">
        <v>43663</v>
      </c>
      <c r="F125">
        <v>4</v>
      </c>
      <c r="G125" s="1">
        <v>35196</v>
      </c>
      <c r="H125" s="8" t="s">
        <v>1457</v>
      </c>
      <c r="I125" s="8" t="s">
        <v>1697</v>
      </c>
    </row>
    <row r="126" spans="1:9" x14ac:dyDescent="0.25">
      <c r="A126" s="8" t="s">
        <v>1501</v>
      </c>
      <c r="B126" s="8" t="s">
        <v>1502</v>
      </c>
      <c r="C126" s="8" t="s">
        <v>1503</v>
      </c>
      <c r="D126" s="8" t="s">
        <v>1504</v>
      </c>
      <c r="E126" s="1">
        <v>43689</v>
      </c>
      <c r="F126">
        <v>2</v>
      </c>
      <c r="G126" s="1">
        <v>34382</v>
      </c>
      <c r="H126" s="8" t="s">
        <v>1457</v>
      </c>
      <c r="I126" s="8" t="s">
        <v>1500</v>
      </c>
    </row>
    <row r="127" spans="1:9" x14ac:dyDescent="0.25">
      <c r="A127" s="8" t="s">
        <v>1545</v>
      </c>
      <c r="B127" s="8" t="s">
        <v>1546</v>
      </c>
      <c r="C127" s="8" t="s">
        <v>1547</v>
      </c>
      <c r="D127" s="8" t="s">
        <v>1466</v>
      </c>
      <c r="E127" s="1">
        <v>43717</v>
      </c>
      <c r="F127">
        <v>2</v>
      </c>
      <c r="G127" s="1">
        <v>31424</v>
      </c>
      <c r="H127" s="8" t="s">
        <v>319</v>
      </c>
      <c r="I127" s="8" t="s">
        <v>1544</v>
      </c>
    </row>
    <row r="128" spans="1:9" x14ac:dyDescent="0.25">
      <c r="A128" s="8" t="s">
        <v>1847</v>
      </c>
      <c r="B128" s="8" t="s">
        <v>1848</v>
      </c>
      <c r="C128" s="8" t="s">
        <v>846</v>
      </c>
      <c r="D128" s="8" t="s">
        <v>1466</v>
      </c>
      <c r="E128" s="1">
        <v>43731</v>
      </c>
      <c r="F128">
        <v>2</v>
      </c>
      <c r="G128" s="1">
        <v>33905</v>
      </c>
      <c r="H128" s="8" t="s">
        <v>319</v>
      </c>
      <c r="I128" s="8" t="s">
        <v>1462</v>
      </c>
    </row>
    <row r="129" spans="1:9" x14ac:dyDescent="0.25">
      <c r="A129" s="8" t="s">
        <v>1517</v>
      </c>
      <c r="B129" s="8" t="s">
        <v>1518</v>
      </c>
      <c r="C129" s="8" t="s">
        <v>1519</v>
      </c>
      <c r="D129" s="8" t="s">
        <v>1504</v>
      </c>
      <c r="E129" s="1">
        <v>43739</v>
      </c>
      <c r="F129">
        <v>2</v>
      </c>
      <c r="G129" s="1">
        <v>35317</v>
      </c>
      <c r="H129" s="8" t="s">
        <v>1457</v>
      </c>
      <c r="I129" s="8" t="s">
        <v>1520</v>
      </c>
    </row>
    <row r="130" spans="1:9" x14ac:dyDescent="0.25">
      <c r="A130" s="8" t="s">
        <v>1453</v>
      </c>
      <c r="B130" s="8" t="s">
        <v>1454</v>
      </c>
      <c r="C130" s="8" t="s">
        <v>1455</v>
      </c>
      <c r="D130" s="8" t="s">
        <v>1456</v>
      </c>
      <c r="E130" s="1">
        <v>43773</v>
      </c>
      <c r="F130">
        <v>7</v>
      </c>
      <c r="G130" s="1">
        <v>34346</v>
      </c>
      <c r="H130" s="8" t="s">
        <v>1457</v>
      </c>
      <c r="I130" s="8" t="s">
        <v>1458</v>
      </c>
    </row>
    <row r="131" spans="1:9" x14ac:dyDescent="0.25">
      <c r="A131" s="8" t="s">
        <v>1478</v>
      </c>
      <c r="B131" s="8" t="s">
        <v>1479</v>
      </c>
      <c r="C131" s="8" t="s">
        <v>1480</v>
      </c>
      <c r="D131" s="8" t="s">
        <v>1456</v>
      </c>
      <c r="E131" s="1">
        <v>43787</v>
      </c>
      <c r="F131">
        <v>5</v>
      </c>
      <c r="G131" s="1">
        <v>32369</v>
      </c>
      <c r="H131" s="8" t="s">
        <v>1457</v>
      </c>
      <c r="I131" s="8" t="s">
        <v>1474</v>
      </c>
    </row>
    <row r="132" spans="1:9" x14ac:dyDescent="0.25">
      <c r="A132" s="8" t="s">
        <v>1890</v>
      </c>
      <c r="B132" s="8" t="s">
        <v>1891</v>
      </c>
      <c r="C132" s="8" t="s">
        <v>654</v>
      </c>
      <c r="D132" s="8" t="s">
        <v>1448</v>
      </c>
      <c r="E132" s="1">
        <v>43809</v>
      </c>
      <c r="F132">
        <v>4</v>
      </c>
      <c r="G132" s="1">
        <v>34122</v>
      </c>
      <c r="H132" s="8" t="s">
        <v>1449</v>
      </c>
      <c r="I132" s="8" t="s">
        <v>1450</v>
      </c>
    </row>
    <row r="133" spans="1:9" x14ac:dyDescent="0.25">
      <c r="A133" s="8" t="s">
        <v>1936</v>
      </c>
      <c r="B133" s="8" t="s">
        <v>1937</v>
      </c>
      <c r="C133" s="8" t="s">
        <v>160</v>
      </c>
      <c r="D133" s="8" t="s">
        <v>1511</v>
      </c>
      <c r="E133" s="1">
        <v>43858</v>
      </c>
      <c r="F133">
        <v>2</v>
      </c>
      <c r="G133" s="1">
        <v>36356</v>
      </c>
      <c r="H133" s="8" t="s">
        <v>68</v>
      </c>
      <c r="I133" s="8" t="s">
        <v>1770</v>
      </c>
    </row>
    <row r="134" spans="1:9" x14ac:dyDescent="0.25">
      <c r="A134" s="8" t="s">
        <v>1960</v>
      </c>
      <c r="B134" s="8" t="s">
        <v>1961</v>
      </c>
      <c r="C134" s="8" t="s">
        <v>1100</v>
      </c>
      <c r="D134" s="8" t="s">
        <v>1466</v>
      </c>
      <c r="E134" s="1">
        <v>43869</v>
      </c>
      <c r="F134">
        <v>2</v>
      </c>
      <c r="G134" s="1">
        <v>35565</v>
      </c>
      <c r="H134" s="8" t="s">
        <v>319</v>
      </c>
      <c r="I134" s="8" t="s">
        <v>1106</v>
      </c>
    </row>
    <row r="135" spans="1:9" x14ac:dyDescent="0.25">
      <c r="A135" s="8" t="s">
        <v>1768</v>
      </c>
      <c r="B135" s="8" t="s">
        <v>1769</v>
      </c>
      <c r="C135" s="8" t="s">
        <v>190</v>
      </c>
      <c r="D135" s="8" t="s">
        <v>1582</v>
      </c>
      <c r="E135" s="1">
        <v>43871</v>
      </c>
      <c r="F135">
        <v>10</v>
      </c>
      <c r="G135" s="1">
        <v>35455</v>
      </c>
      <c r="H135" s="8" t="s">
        <v>68</v>
      </c>
      <c r="I135" s="8" t="s">
        <v>1770</v>
      </c>
    </row>
    <row r="136" spans="1:9" x14ac:dyDescent="0.25">
      <c r="A136" s="8" t="s">
        <v>1475</v>
      </c>
      <c r="B136" s="8" t="s">
        <v>1476</v>
      </c>
      <c r="C136" s="8" t="s">
        <v>1477</v>
      </c>
      <c r="D136" s="8" t="s">
        <v>1456</v>
      </c>
      <c r="E136" s="1">
        <v>43873</v>
      </c>
      <c r="F136">
        <v>6</v>
      </c>
      <c r="G136" s="1">
        <v>29852</v>
      </c>
      <c r="H136" s="8" t="s">
        <v>1457</v>
      </c>
      <c r="I136" s="8" t="s">
        <v>1474</v>
      </c>
    </row>
    <row r="137" spans="1:9" x14ac:dyDescent="0.25">
      <c r="A137" s="8" t="s">
        <v>1654</v>
      </c>
      <c r="B137" s="8" t="s">
        <v>1655</v>
      </c>
      <c r="C137" s="8" t="s">
        <v>1068</v>
      </c>
      <c r="D137" s="8" t="s">
        <v>1531</v>
      </c>
      <c r="E137" s="1">
        <v>43906</v>
      </c>
      <c r="F137">
        <v>4</v>
      </c>
      <c r="G137" s="1">
        <v>29813</v>
      </c>
      <c r="H137" s="8" t="s">
        <v>1457</v>
      </c>
      <c r="I137" s="8" t="s">
        <v>1656</v>
      </c>
    </row>
    <row r="138" spans="1:9" x14ac:dyDescent="0.25">
      <c r="A138" s="8" t="s">
        <v>1692</v>
      </c>
      <c r="B138" s="8" t="s">
        <v>1693</v>
      </c>
      <c r="C138" s="8" t="s">
        <v>493</v>
      </c>
      <c r="D138" s="8" t="s">
        <v>1448</v>
      </c>
      <c r="E138" s="1">
        <v>43913</v>
      </c>
      <c r="F138">
        <v>4</v>
      </c>
      <c r="G138" s="1">
        <v>31584</v>
      </c>
      <c r="H138" s="8" t="s">
        <v>1449</v>
      </c>
      <c r="I138" s="8" t="s">
        <v>1691</v>
      </c>
    </row>
    <row r="139" spans="1:9" x14ac:dyDescent="0.25">
      <c r="A139" s="8" t="s">
        <v>1463</v>
      </c>
      <c r="B139" s="8" t="s">
        <v>1464</v>
      </c>
      <c r="C139" s="8" t="s">
        <v>1465</v>
      </c>
      <c r="D139" s="8" t="s">
        <v>1466</v>
      </c>
      <c r="E139" s="1">
        <v>43934</v>
      </c>
      <c r="F139">
        <v>3</v>
      </c>
      <c r="G139" s="1">
        <v>35635</v>
      </c>
      <c r="H139" s="8" t="s">
        <v>319</v>
      </c>
      <c r="I139" s="8" t="s">
        <v>1462</v>
      </c>
    </row>
    <row r="140" spans="1:9" x14ac:dyDescent="0.25">
      <c r="A140" s="8" t="s">
        <v>1618</v>
      </c>
      <c r="B140" s="8" t="s">
        <v>1619</v>
      </c>
      <c r="C140" s="8" t="s">
        <v>1205</v>
      </c>
      <c r="D140" s="8" t="s">
        <v>1493</v>
      </c>
      <c r="E140" s="1">
        <v>44042</v>
      </c>
      <c r="F140">
        <v>1</v>
      </c>
      <c r="G140" s="1">
        <v>34594</v>
      </c>
      <c r="H140" s="8" t="s">
        <v>1494</v>
      </c>
      <c r="I140" s="8" t="s">
        <v>1617</v>
      </c>
    </row>
    <row r="141" spans="1:9" x14ac:dyDescent="0.25">
      <c r="A141" s="8" t="s">
        <v>1525</v>
      </c>
      <c r="B141" s="8" t="s">
        <v>1526</v>
      </c>
      <c r="C141" s="8" t="s">
        <v>1128</v>
      </c>
      <c r="D141" s="8" t="s">
        <v>1511</v>
      </c>
      <c r="E141" s="1">
        <v>44054</v>
      </c>
      <c r="F141">
        <v>2</v>
      </c>
      <c r="G141" s="1">
        <v>37132</v>
      </c>
      <c r="H141" s="8" t="s">
        <v>183</v>
      </c>
      <c r="I141" s="8" t="s">
        <v>1527</v>
      </c>
    </row>
    <row r="142" spans="1:9" x14ac:dyDescent="0.25">
      <c r="A142" s="8" t="s">
        <v>1919</v>
      </c>
      <c r="B142" s="8" t="s">
        <v>1920</v>
      </c>
      <c r="C142" s="8" t="s">
        <v>1921</v>
      </c>
      <c r="D142" s="8" t="s">
        <v>1511</v>
      </c>
      <c r="E142" s="1">
        <v>44082</v>
      </c>
      <c r="F142">
        <v>3</v>
      </c>
      <c r="G142" s="1">
        <v>29853</v>
      </c>
      <c r="H142" s="8" t="s">
        <v>1512</v>
      </c>
      <c r="I142" s="8" t="s">
        <v>1635</v>
      </c>
    </row>
    <row r="143" spans="1:9" x14ac:dyDescent="0.25">
      <c r="A143" s="8" t="s">
        <v>1557</v>
      </c>
      <c r="B143" s="8" t="s">
        <v>1558</v>
      </c>
      <c r="C143" s="8" t="s">
        <v>1559</v>
      </c>
      <c r="D143" s="8" t="s">
        <v>1466</v>
      </c>
      <c r="E143" s="1">
        <v>44131</v>
      </c>
      <c r="F143">
        <v>2</v>
      </c>
      <c r="G143" s="1">
        <v>37189</v>
      </c>
      <c r="H143" s="8" t="s">
        <v>319</v>
      </c>
      <c r="I143" s="8" t="s">
        <v>1544</v>
      </c>
    </row>
    <row r="144" spans="1:9" x14ac:dyDescent="0.25">
      <c r="A144" s="8" t="s">
        <v>1685</v>
      </c>
      <c r="B144" s="8" t="s">
        <v>1686</v>
      </c>
      <c r="C144" s="8" t="s">
        <v>1687</v>
      </c>
      <c r="D144" s="8" t="s">
        <v>1592</v>
      </c>
      <c r="E144" s="1">
        <v>44141</v>
      </c>
      <c r="F144">
        <v>2</v>
      </c>
      <c r="G144" s="1">
        <v>34513</v>
      </c>
      <c r="H144" s="8" t="s">
        <v>1593</v>
      </c>
      <c r="I144" s="8" t="s">
        <v>1684</v>
      </c>
    </row>
    <row r="145" spans="1:9" x14ac:dyDescent="0.25">
      <c r="A145" s="8" t="s">
        <v>1821</v>
      </c>
      <c r="B145" s="8" t="s">
        <v>1822</v>
      </c>
      <c r="C145" s="8" t="s">
        <v>1823</v>
      </c>
      <c r="D145" s="8" t="s">
        <v>1824</v>
      </c>
      <c r="E145" s="1">
        <v>44151</v>
      </c>
      <c r="F145">
        <v>3</v>
      </c>
      <c r="G145" s="1">
        <v>34099</v>
      </c>
      <c r="H145" s="8" t="s">
        <v>1457</v>
      </c>
      <c r="I145" s="8" t="s">
        <v>1825</v>
      </c>
    </row>
    <row r="146" spans="1:9" x14ac:dyDescent="0.25">
      <c r="A146" s="8" t="s">
        <v>1681</v>
      </c>
      <c r="B146" s="8" t="s">
        <v>1682</v>
      </c>
      <c r="C146" s="8" t="s">
        <v>1683</v>
      </c>
      <c r="D146" s="8" t="s">
        <v>1592</v>
      </c>
      <c r="E146" s="1">
        <v>44151</v>
      </c>
      <c r="F146">
        <v>2</v>
      </c>
      <c r="G146" s="1">
        <v>36961</v>
      </c>
      <c r="H146" s="8" t="s">
        <v>1593</v>
      </c>
      <c r="I146" s="8" t="s">
        <v>1684</v>
      </c>
    </row>
    <row r="147" spans="1:9" x14ac:dyDescent="0.25">
      <c r="A147" s="8" t="s">
        <v>1773</v>
      </c>
      <c r="B147" s="8" t="s">
        <v>1774</v>
      </c>
      <c r="C147" s="8" t="s">
        <v>1775</v>
      </c>
      <c r="D147" s="8" t="s">
        <v>1511</v>
      </c>
      <c r="E147" s="1">
        <v>44165</v>
      </c>
      <c r="F147">
        <v>3</v>
      </c>
      <c r="G147" s="1">
        <v>28931</v>
      </c>
      <c r="H147" s="8" t="s">
        <v>1966</v>
      </c>
      <c r="I147" s="8" t="s">
        <v>1776</v>
      </c>
    </row>
    <row r="148" spans="1:9" x14ac:dyDescent="0.25">
      <c r="A148" s="8" t="s">
        <v>1967</v>
      </c>
      <c r="B148" s="8" t="s">
        <v>1968</v>
      </c>
      <c r="C148" s="8" t="s">
        <v>1969</v>
      </c>
      <c r="D148" s="8" t="s">
        <v>1541</v>
      </c>
      <c r="E148" s="1">
        <v>44166</v>
      </c>
      <c r="F148">
        <v>3</v>
      </c>
      <c r="G148" s="1">
        <v>28215</v>
      </c>
      <c r="H148" s="8" t="s">
        <v>1966</v>
      </c>
      <c r="I148" s="8" t="s">
        <v>1970</v>
      </c>
    </row>
    <row r="149" spans="1:9" x14ac:dyDescent="0.25">
      <c r="A149" s="8" t="s">
        <v>1542</v>
      </c>
      <c r="B149" s="8" t="s">
        <v>1543</v>
      </c>
      <c r="C149" s="8" t="s">
        <v>996</v>
      </c>
      <c r="D149" s="8" t="s">
        <v>1466</v>
      </c>
      <c r="E149" s="1">
        <v>44198</v>
      </c>
      <c r="F149">
        <v>1</v>
      </c>
      <c r="G149" s="1">
        <v>36311</v>
      </c>
      <c r="H149" s="8" t="s">
        <v>319</v>
      </c>
      <c r="I149" s="8" t="s">
        <v>1544</v>
      </c>
    </row>
    <row r="150" spans="1:9" x14ac:dyDescent="0.25">
      <c r="A150" s="8" t="s">
        <v>1548</v>
      </c>
      <c r="B150" s="8" t="s">
        <v>1549</v>
      </c>
      <c r="C150" s="8" t="s">
        <v>1550</v>
      </c>
      <c r="D150" s="8" t="s">
        <v>1466</v>
      </c>
      <c r="E150" s="1">
        <v>44198</v>
      </c>
      <c r="F150">
        <v>1</v>
      </c>
      <c r="G150" s="1">
        <v>35690</v>
      </c>
      <c r="H150" s="8" t="s">
        <v>319</v>
      </c>
      <c r="I150" s="8" t="s">
        <v>1544</v>
      </c>
    </row>
    <row r="151" spans="1:9" x14ac:dyDescent="0.25">
      <c r="A151" s="8" t="s">
        <v>1551</v>
      </c>
      <c r="B151" s="8" t="s">
        <v>1552</v>
      </c>
      <c r="C151" s="8" t="s">
        <v>1553</v>
      </c>
      <c r="D151" s="8" t="s">
        <v>1466</v>
      </c>
      <c r="E151" s="1">
        <v>44198</v>
      </c>
      <c r="F151">
        <v>1</v>
      </c>
      <c r="G151" s="1">
        <v>36751</v>
      </c>
      <c r="H151" s="8" t="s">
        <v>319</v>
      </c>
      <c r="I151" s="8" t="s">
        <v>1544</v>
      </c>
    </row>
    <row r="152" spans="1:9" x14ac:dyDescent="0.25">
      <c r="A152" s="8" t="s">
        <v>1554</v>
      </c>
      <c r="B152" s="8" t="s">
        <v>1555</v>
      </c>
      <c r="C152" s="8" t="s">
        <v>1556</v>
      </c>
      <c r="D152" s="8" t="s">
        <v>1466</v>
      </c>
      <c r="E152" s="1">
        <v>44198</v>
      </c>
      <c r="F152">
        <v>1</v>
      </c>
      <c r="G152" s="1">
        <v>36140</v>
      </c>
      <c r="H152" s="8" t="s">
        <v>319</v>
      </c>
      <c r="I152" s="8" t="s">
        <v>1544</v>
      </c>
    </row>
    <row r="153" spans="1:9" x14ac:dyDescent="0.25">
      <c r="A153" s="8" t="s">
        <v>1735</v>
      </c>
      <c r="B153" s="8" t="s">
        <v>1736</v>
      </c>
      <c r="C153" s="8" t="s">
        <v>1737</v>
      </c>
      <c r="D153" s="8" t="s">
        <v>1738</v>
      </c>
      <c r="E153" s="1">
        <v>44198</v>
      </c>
      <c r="F153">
        <v>1</v>
      </c>
      <c r="G153" s="1">
        <v>32442</v>
      </c>
      <c r="H153" s="8" t="s">
        <v>1512</v>
      </c>
      <c r="I153" s="8" t="s">
        <v>1739</v>
      </c>
    </row>
    <row r="154" spans="1:9" x14ac:dyDescent="0.25">
      <c r="A154" s="8" t="s">
        <v>1818</v>
      </c>
      <c r="B154" s="8" t="s">
        <v>1819</v>
      </c>
      <c r="C154" s="8" t="s">
        <v>1820</v>
      </c>
      <c r="D154" s="8" t="s">
        <v>1466</v>
      </c>
      <c r="E154" s="1">
        <v>44198</v>
      </c>
      <c r="F154">
        <v>1</v>
      </c>
      <c r="G154" s="1">
        <v>36194</v>
      </c>
      <c r="H154" s="8" t="s">
        <v>319</v>
      </c>
      <c r="I154" s="8" t="s">
        <v>1544</v>
      </c>
    </row>
    <row r="155" spans="1:9" x14ac:dyDescent="0.25">
      <c r="A155" s="8" t="s">
        <v>1876</v>
      </c>
      <c r="B155" s="8" t="s">
        <v>1877</v>
      </c>
      <c r="C155" s="8" t="s">
        <v>1878</v>
      </c>
      <c r="D155" s="8" t="s">
        <v>1466</v>
      </c>
      <c r="E155" s="1">
        <v>44198</v>
      </c>
      <c r="F155">
        <v>1</v>
      </c>
      <c r="G155" s="1">
        <v>25800</v>
      </c>
      <c r="H155" s="8" t="s">
        <v>319</v>
      </c>
      <c r="I155" s="8" t="s">
        <v>1544</v>
      </c>
    </row>
    <row r="156" spans="1:9" x14ac:dyDescent="0.25">
      <c r="A156" s="8" t="s">
        <v>1911</v>
      </c>
      <c r="B156" s="8" t="s">
        <v>1912</v>
      </c>
      <c r="C156" s="8" t="s">
        <v>1913</v>
      </c>
      <c r="D156" s="8" t="s">
        <v>1852</v>
      </c>
      <c r="E156" s="1">
        <v>44198</v>
      </c>
      <c r="F156">
        <v>1</v>
      </c>
      <c r="G156" s="1">
        <v>32126</v>
      </c>
      <c r="H156" s="8" t="s">
        <v>68</v>
      </c>
      <c r="I156" s="8" t="s">
        <v>1770</v>
      </c>
    </row>
    <row r="157" spans="1:9" x14ac:dyDescent="0.25">
      <c r="A157" s="8" t="s">
        <v>1938</v>
      </c>
      <c r="B157" s="8" t="s">
        <v>1939</v>
      </c>
      <c r="C157" s="8" t="s">
        <v>1940</v>
      </c>
      <c r="D157" s="8" t="s">
        <v>1466</v>
      </c>
      <c r="E157" s="1">
        <v>44198</v>
      </c>
      <c r="F157">
        <v>1</v>
      </c>
      <c r="G157" s="1">
        <v>36394</v>
      </c>
      <c r="H157" s="8" t="s">
        <v>319</v>
      </c>
      <c r="I157" s="8" t="s">
        <v>1544</v>
      </c>
    </row>
    <row r="158" spans="1:9" x14ac:dyDescent="0.25">
      <c r="A158" s="8" t="s">
        <v>1496</v>
      </c>
      <c r="B158" s="8" t="s">
        <v>1497</v>
      </c>
      <c r="C158" s="8" t="s">
        <v>1498</v>
      </c>
      <c r="D158" s="8" t="s">
        <v>1499</v>
      </c>
      <c r="E158" s="1">
        <v>44200</v>
      </c>
      <c r="F158">
        <v>1</v>
      </c>
      <c r="G158" s="1">
        <v>34080</v>
      </c>
      <c r="H158" s="8" t="s">
        <v>1457</v>
      </c>
      <c r="I158" s="8" t="s">
        <v>1500</v>
      </c>
    </row>
    <row r="159" spans="1:9" x14ac:dyDescent="0.25">
      <c r="A159" s="8" t="s">
        <v>1971</v>
      </c>
      <c r="B159" s="8" t="s">
        <v>1972</v>
      </c>
      <c r="C159" s="8" t="s">
        <v>1973</v>
      </c>
      <c r="D159" s="8" t="s">
        <v>1511</v>
      </c>
      <c r="E159" s="1">
        <v>44249</v>
      </c>
      <c r="F159">
        <v>0</v>
      </c>
      <c r="G159" s="1">
        <v>32463</v>
      </c>
      <c r="H159" s="8" t="s">
        <v>1966</v>
      </c>
      <c r="I159" s="8" t="s">
        <v>1635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R4"/>
  <sheetViews>
    <sheetView workbookViewId="0">
      <selection activeCell="C17" sqref="C17"/>
    </sheetView>
  </sheetViews>
  <sheetFormatPr baseColWidth="10" defaultRowHeight="15" x14ac:dyDescent="0.25"/>
  <cols>
    <col min="1" max="1" width="20.85546875" style="19" bestFit="1" customWidth="1"/>
    <col min="2" max="2" width="25" style="19" bestFit="1" customWidth="1"/>
    <col min="3" max="3" width="14.140625" style="19" bestFit="1" customWidth="1"/>
    <col min="4" max="4" width="25.140625" style="19" bestFit="1" customWidth="1"/>
    <col min="5" max="5" width="42" style="19" bestFit="1" customWidth="1"/>
    <col min="6" max="6" width="12.85546875" style="19" customWidth="1"/>
    <col min="7" max="7" width="27.85546875" style="19" bestFit="1" customWidth="1"/>
    <col min="8" max="8" width="20.5703125" style="19" bestFit="1" customWidth="1"/>
    <col min="9" max="9" width="12.85546875" style="19" customWidth="1"/>
    <col min="10" max="13" width="14" style="19" customWidth="1"/>
    <col min="14" max="14" width="24.28515625" style="19" bestFit="1" customWidth="1"/>
    <col min="15" max="15" width="18" style="19" bestFit="1" customWidth="1"/>
    <col min="16" max="16" width="19" style="19" bestFit="1" customWidth="1"/>
    <col min="17" max="17" width="17.28515625" style="19" bestFit="1" customWidth="1"/>
    <col min="18" max="16384" width="11.42578125" style="19"/>
  </cols>
  <sheetData>
    <row r="1" spans="1:18" ht="15.75" x14ac:dyDescent="0.25">
      <c r="A1" s="18" t="s">
        <v>2183</v>
      </c>
      <c r="B1" s="18" t="s">
        <v>36</v>
      </c>
      <c r="C1" s="18" t="s">
        <v>2184</v>
      </c>
      <c r="D1" s="18" t="s">
        <v>2185</v>
      </c>
      <c r="E1" s="18" t="s">
        <v>2186</v>
      </c>
      <c r="F1" s="18" t="s">
        <v>2187</v>
      </c>
      <c r="G1" s="18" t="s">
        <v>2188</v>
      </c>
      <c r="H1" s="18" t="s">
        <v>2189</v>
      </c>
      <c r="I1" s="18" t="s">
        <v>1359</v>
      </c>
      <c r="J1" s="21" t="s">
        <v>2190</v>
      </c>
      <c r="K1" s="21" t="s">
        <v>2191</v>
      </c>
      <c r="L1" s="21" t="s">
        <v>2194</v>
      </c>
      <c r="M1" s="21" t="s">
        <v>1421</v>
      </c>
      <c r="N1" s="21" t="s">
        <v>2199</v>
      </c>
      <c r="O1" s="21" t="s">
        <v>2200</v>
      </c>
      <c r="P1" s="21" t="s">
        <v>2201</v>
      </c>
      <c r="Q1" s="21" t="s">
        <v>2198</v>
      </c>
      <c r="R1" s="41" t="s">
        <v>2210</v>
      </c>
    </row>
    <row r="2" spans="1:18" x14ac:dyDescent="0.25">
      <c r="A2" s="26" t="s">
        <v>2202</v>
      </c>
      <c r="B2" s="27" t="s">
        <v>1587</v>
      </c>
      <c r="C2" s="27" t="s">
        <v>1449</v>
      </c>
      <c r="D2" s="27" t="s">
        <v>2203</v>
      </c>
      <c r="E2" s="27" t="s">
        <v>2204</v>
      </c>
      <c r="F2" s="27" t="s">
        <v>2205</v>
      </c>
      <c r="G2" s="27" t="s">
        <v>1830</v>
      </c>
      <c r="H2" s="27">
        <v>99018533</v>
      </c>
      <c r="I2" s="27" t="s">
        <v>2206</v>
      </c>
      <c r="J2" s="32"/>
      <c r="K2" s="29"/>
      <c r="L2" s="29"/>
      <c r="M2" s="29"/>
      <c r="N2" s="32">
        <v>44280</v>
      </c>
      <c r="O2" s="30"/>
      <c r="P2" s="30"/>
      <c r="Q2" s="31"/>
    </row>
    <row r="3" spans="1:18" x14ac:dyDescent="0.25">
      <c r="A3" s="35" t="s">
        <v>2202</v>
      </c>
      <c r="B3" s="36" t="s">
        <v>1587</v>
      </c>
      <c r="C3" s="36" t="s">
        <v>1449</v>
      </c>
      <c r="D3" s="36" t="s">
        <v>2203</v>
      </c>
      <c r="E3" s="36" t="s">
        <v>2204</v>
      </c>
      <c r="F3" s="36" t="s">
        <v>2205</v>
      </c>
      <c r="G3" s="36" t="s">
        <v>1953</v>
      </c>
      <c r="H3" s="36">
        <v>99021622</v>
      </c>
      <c r="I3" s="37" t="s">
        <v>2206</v>
      </c>
      <c r="J3" s="32"/>
      <c r="K3" s="38"/>
      <c r="L3" s="38"/>
      <c r="M3" s="38"/>
      <c r="N3" s="39">
        <v>44280</v>
      </c>
      <c r="O3" s="33"/>
      <c r="P3" s="33"/>
      <c r="Q3" s="34"/>
      <c r="R3" s="42">
        <v>10</v>
      </c>
    </row>
    <row r="4" spans="1:18" x14ac:dyDescent="0.25">
      <c r="A4" s="35" t="s">
        <v>2202</v>
      </c>
      <c r="B4" s="36" t="s">
        <v>1587</v>
      </c>
      <c r="C4" s="36" t="s">
        <v>1449</v>
      </c>
      <c r="D4" s="36" t="s">
        <v>2203</v>
      </c>
      <c r="E4" s="36" t="s">
        <v>2204</v>
      </c>
      <c r="F4" s="36" t="s">
        <v>2205</v>
      </c>
      <c r="G4" s="36" t="s">
        <v>1772</v>
      </c>
      <c r="H4" s="36">
        <v>99022204</v>
      </c>
      <c r="I4" s="37" t="s">
        <v>2206</v>
      </c>
      <c r="J4" s="32"/>
      <c r="K4" s="38"/>
      <c r="L4" s="38"/>
      <c r="M4" s="38"/>
      <c r="N4" s="39">
        <v>44280</v>
      </c>
      <c r="O4" s="33"/>
      <c r="P4" s="33"/>
      <c r="Q4" s="34"/>
      <c r="R4" s="42">
        <v>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4"/>
  <sheetViews>
    <sheetView workbookViewId="0">
      <selection activeCell="A2" sqref="A2:A4"/>
    </sheetView>
  </sheetViews>
  <sheetFormatPr baseColWidth="10" defaultRowHeight="15" x14ac:dyDescent="0.25"/>
  <cols>
    <col min="1" max="1" width="20.85546875" bestFit="1" customWidth="1"/>
    <col min="2" max="2" width="17.85546875" bestFit="1" customWidth="1"/>
    <col min="3" max="3" width="19.140625" bestFit="1" customWidth="1"/>
    <col min="4" max="4" width="25.140625" bestFit="1" customWidth="1"/>
    <col min="5" max="5" width="42" bestFit="1" customWidth="1"/>
    <col min="7" max="7" width="26.5703125" bestFit="1" customWidth="1"/>
    <col min="8" max="8" width="20.5703125" bestFit="1" customWidth="1"/>
    <col min="10" max="10" width="22" bestFit="1" customWidth="1"/>
  </cols>
  <sheetData>
    <row r="1" spans="1:11" ht="15.75" x14ac:dyDescent="0.25">
      <c r="A1" s="22" t="s">
        <v>2183</v>
      </c>
      <c r="B1" s="20" t="s">
        <v>36</v>
      </c>
      <c r="C1" s="20" t="s">
        <v>2184</v>
      </c>
      <c r="D1" s="20" t="s">
        <v>2185</v>
      </c>
      <c r="E1" s="20" t="s">
        <v>2186</v>
      </c>
      <c r="F1" s="20" t="s">
        <v>2187</v>
      </c>
      <c r="G1" s="20" t="s">
        <v>2188</v>
      </c>
      <c r="H1" s="20" t="s">
        <v>2189</v>
      </c>
      <c r="I1" s="20" t="s">
        <v>1359</v>
      </c>
      <c r="J1" s="20" t="s">
        <v>2199</v>
      </c>
      <c r="K1" s="40" t="s">
        <v>2210</v>
      </c>
    </row>
    <row r="2" spans="1:11" x14ac:dyDescent="0.25">
      <c r="A2" s="23" t="s">
        <v>2202</v>
      </c>
      <c r="B2" s="24" t="s">
        <v>1587</v>
      </c>
      <c r="C2" s="24" t="s">
        <v>1449</v>
      </c>
      <c r="D2" s="24" t="s">
        <v>2203</v>
      </c>
      <c r="E2" s="24" t="s">
        <v>2204</v>
      </c>
      <c r="F2" s="24" t="s">
        <v>2205</v>
      </c>
      <c r="G2" s="24" t="s">
        <v>1830</v>
      </c>
      <c r="H2" s="24">
        <v>99018533</v>
      </c>
      <c r="I2" s="24" t="s">
        <v>2206</v>
      </c>
      <c r="J2" s="25">
        <v>44280</v>
      </c>
      <c r="K2">
        <v>10</v>
      </c>
    </row>
    <row r="3" spans="1:11" x14ac:dyDescent="0.25">
      <c r="A3" s="26" t="s">
        <v>2202</v>
      </c>
      <c r="B3" s="27" t="s">
        <v>1587</v>
      </c>
      <c r="C3" s="27" t="s">
        <v>1449</v>
      </c>
      <c r="D3" s="27" t="s">
        <v>2203</v>
      </c>
      <c r="E3" s="27" t="s">
        <v>2204</v>
      </c>
      <c r="F3" s="27" t="s">
        <v>2205</v>
      </c>
      <c r="G3" s="27" t="s">
        <v>1953</v>
      </c>
      <c r="H3" s="27">
        <v>99021622</v>
      </c>
      <c r="I3" s="27" t="s">
        <v>2206</v>
      </c>
      <c r="J3" s="28">
        <v>44280</v>
      </c>
      <c r="K3">
        <v>10</v>
      </c>
    </row>
    <row r="4" spans="1:11" x14ac:dyDescent="0.25">
      <c r="A4" s="23" t="s">
        <v>2202</v>
      </c>
      <c r="B4" s="24" t="s">
        <v>1587</v>
      </c>
      <c r="C4" s="24" t="s">
        <v>1449</v>
      </c>
      <c r="D4" s="24" t="s">
        <v>2203</v>
      </c>
      <c r="E4" s="24" t="s">
        <v>2204</v>
      </c>
      <c r="F4" s="24" t="s">
        <v>2205</v>
      </c>
      <c r="G4" s="24" t="s">
        <v>1772</v>
      </c>
      <c r="H4" s="24">
        <v>99022204</v>
      </c>
      <c r="I4" s="24" t="s">
        <v>2206</v>
      </c>
      <c r="J4" s="25">
        <v>44280</v>
      </c>
      <c r="K4">
        <v>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3"/>
  <sheetViews>
    <sheetView workbookViewId="0">
      <selection activeCell="D24" sqref="D24"/>
    </sheetView>
  </sheetViews>
  <sheetFormatPr baseColWidth="10" defaultRowHeight="15" x14ac:dyDescent="0.25"/>
  <cols>
    <col min="1" max="1" width="20.85546875" bestFit="1" customWidth="1"/>
    <col min="2" max="2" width="20.5703125" bestFit="1" customWidth="1"/>
    <col min="3" max="3" width="19.7109375" bestFit="1" customWidth="1"/>
    <col min="4" max="4" width="12" customWidth="1"/>
    <col min="5" max="5" width="24.5703125" bestFit="1" customWidth="1"/>
    <col min="6" max="6" width="12.28515625" style="1" bestFit="1" customWidth="1"/>
    <col min="7" max="7" width="14" bestFit="1" customWidth="1"/>
    <col min="9" max="9" width="18.7109375" style="1" bestFit="1" customWidth="1"/>
    <col min="10" max="10" width="16.140625" style="1" bestFit="1" customWidth="1"/>
  </cols>
  <sheetData>
    <row r="1" spans="1:10" x14ac:dyDescent="0.25">
      <c r="A1" t="s">
        <v>2189</v>
      </c>
      <c r="B1" t="s">
        <v>1</v>
      </c>
      <c r="C1" t="s">
        <v>2211</v>
      </c>
      <c r="D1" t="s">
        <v>2212</v>
      </c>
      <c r="E1" t="s">
        <v>2213</v>
      </c>
      <c r="F1" s="1" t="s">
        <v>2214</v>
      </c>
      <c r="G1" t="s">
        <v>2220</v>
      </c>
      <c r="H1" t="s">
        <v>1359</v>
      </c>
      <c r="I1" s="1" t="s">
        <v>2221</v>
      </c>
      <c r="J1" s="1" t="s">
        <v>2222</v>
      </c>
    </row>
    <row r="2" spans="1:10" x14ac:dyDescent="0.25">
      <c r="A2">
        <v>99021314</v>
      </c>
      <c r="B2" t="s">
        <v>1926</v>
      </c>
      <c r="C2" t="s">
        <v>2215</v>
      </c>
      <c r="D2" t="s">
        <v>2216</v>
      </c>
      <c r="E2" t="s">
        <v>2217</v>
      </c>
      <c r="F2" s="1">
        <v>44286</v>
      </c>
      <c r="H2" t="s">
        <v>2206</v>
      </c>
    </row>
    <row r="3" spans="1:10" x14ac:dyDescent="0.25">
      <c r="A3">
        <v>111</v>
      </c>
      <c r="B3" t="s">
        <v>2218</v>
      </c>
      <c r="C3" t="s">
        <v>2219</v>
      </c>
      <c r="F3" s="1">
        <v>44286</v>
      </c>
      <c r="G3">
        <v>1</v>
      </c>
      <c r="H3" t="s">
        <v>2206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G3"/>
  <sheetViews>
    <sheetView workbookViewId="0">
      <selection activeCell="C2" sqref="C2:C4"/>
    </sheetView>
  </sheetViews>
  <sheetFormatPr baseColWidth="10" defaultRowHeight="15" x14ac:dyDescent="0.25"/>
  <cols>
    <col min="1" max="1" width="18.5703125" bestFit="1" customWidth="1"/>
    <col min="2" max="2" width="20.5703125" bestFit="1" customWidth="1"/>
    <col min="3" max="3" width="17.42578125" bestFit="1" customWidth="1"/>
    <col min="4" max="4" width="12" customWidth="1"/>
    <col min="5" max="5" width="22.28515625" bestFit="1" customWidth="1"/>
    <col min="6" max="6" width="12" customWidth="1"/>
  </cols>
  <sheetData>
    <row r="1" spans="1:7" x14ac:dyDescent="0.25">
      <c r="A1" t="s">
        <v>2189</v>
      </c>
      <c r="B1" t="s">
        <v>1</v>
      </c>
      <c r="C1" t="s">
        <v>2211</v>
      </c>
      <c r="D1" t="s">
        <v>2212</v>
      </c>
      <c r="E1" t="s">
        <v>2213</v>
      </c>
      <c r="F1" t="s">
        <v>2214</v>
      </c>
      <c r="G1" t="s">
        <v>1359</v>
      </c>
    </row>
    <row r="2" spans="1:7" x14ac:dyDescent="0.25">
      <c r="A2">
        <v>99021314</v>
      </c>
      <c r="B2" t="s">
        <v>1926</v>
      </c>
      <c r="C2" t="s">
        <v>2215</v>
      </c>
      <c r="D2" t="s">
        <v>2216</v>
      </c>
      <c r="E2" t="s">
        <v>2217</v>
      </c>
      <c r="F2" s="1">
        <v>44286</v>
      </c>
      <c r="G2" t="s">
        <v>2206</v>
      </c>
    </row>
    <row r="3" spans="1:7" x14ac:dyDescent="0.25">
      <c r="A3">
        <v>111</v>
      </c>
      <c r="B3" t="s">
        <v>2218</v>
      </c>
      <c r="C3" t="s">
        <v>2219</v>
      </c>
      <c r="D3" t="s">
        <v>2216</v>
      </c>
      <c r="E3" t="s">
        <v>2217</v>
      </c>
      <c r="F3" s="1">
        <v>44286</v>
      </c>
      <c r="G3" t="s">
        <v>2206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76E209-D357-48A7-869A-404C4DCE095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Expediente Digital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2021-04-14T20:41:11Z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