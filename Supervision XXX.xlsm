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1600" windowHeight="9750" firstSheet="1" activeTab="4"/>
  </bookViews>
  <sheets>
    <sheet name="Supervisión" sheetId="1" r:id="rId1"/>
    <sheet name="Puestos" sheetId="7" r:id="rId2"/>
    <sheet name="Base RH linea" sheetId="6" r:id="rId3"/>
    <sheet name="Capcitaciones" sheetId="8" r:id="rId4"/>
    <sheet name="Eventos Diciplinarios" sheetId="11" r:id="rId5"/>
    <sheet name="Listas" sheetId="10" r:id="rId6"/>
    <sheet name="Información" sheetId="9" r:id="rId7"/>
  </sheets>
  <definedNames>
    <definedName name="DatosExternos_1" localSheetId="2" hidden="1">'Base RH linea'!$A$1:$I$159</definedName>
    <definedName name="DatosExternos_1" localSheetId="1" hidden="1">Puestos!$A$1:$B$105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9" l="1"/>
  <c r="B8" i="9" l="1"/>
</calcChain>
</file>

<file path=xl/connections.xml><?xml version="1.0" encoding="utf-8"?>
<connections xmlns="http://schemas.openxmlformats.org/spreadsheetml/2006/main">
  <connection id="1" keepAlive="1" name="Consulta - Colaboradores y dias de vacas" description="Conexión a la consulta 'Colaboradores y dias de vacas' en el libro." type="5" refreshedVersion="6" background="1" saveData="1">
    <dbPr connection="Provider=Microsoft.Mashup.OleDb.1;Data Source=$Workbook$;Location=Colaboradores y dias de vacas;Extended Properties=&quot;&quot;" command="SELECT * FROM [Colaboradores y dias de vacas]"/>
  </connection>
  <connection id="2" keepAlive="1" name="Consulta - Puestos de trabajo" description="Conexión a la consulta 'Puestos de trabajo' en el libro." type="5" refreshedVersion="6" background="1" saveData="1">
    <dbPr connection="Provider=Microsoft.Mashup.OleDb.1;Data Source=$Workbook$;Location=Puestos de trabajo;Extended Properties=&quot;&quot;" command="SELECT * FROM [Puestos de trabajo]"/>
  </connection>
</connections>
</file>

<file path=xl/sharedStrings.xml><?xml version="1.0" encoding="utf-8"?>
<sst xmlns="http://schemas.openxmlformats.org/spreadsheetml/2006/main" count="1436" uniqueCount="855">
  <si>
    <t>Departamento</t>
  </si>
  <si>
    <t>mtsanchez765@gmail.com</t>
  </si>
  <si>
    <t>Laminación</t>
  </si>
  <si>
    <t>reimond_paul@hotmail.com</t>
  </si>
  <si>
    <t>fabianlacayo05@gmail.com</t>
  </si>
  <si>
    <t>reponedor de varilla</t>
  </si>
  <si>
    <t>sergiogomezalvarado@gmail.com</t>
  </si>
  <si>
    <t>avalenciano115@gmail.com</t>
  </si>
  <si>
    <t>Horno</t>
  </si>
  <si>
    <t>Hornero</t>
  </si>
  <si>
    <t>hectorzu1997@gmail.com</t>
  </si>
  <si>
    <t>maycolbadilla.97@gmail.com</t>
  </si>
  <si>
    <t>rmonge556@yahoo.com</t>
  </si>
  <si>
    <t>eortizcalvo@hotmail.com</t>
  </si>
  <si>
    <t>Laminador</t>
  </si>
  <si>
    <t>josseven@gmail.com</t>
  </si>
  <si>
    <t>facturador</t>
  </si>
  <si>
    <t>Despacho</t>
  </si>
  <si>
    <t>luis22berrocal@gmail.com</t>
  </si>
  <si>
    <t>randall.rodriguez@arcelormittal.com</t>
  </si>
  <si>
    <t>juxtin.warin1995@gmail.com</t>
  </si>
  <si>
    <t>auxiliar de laboratorio</t>
  </si>
  <si>
    <t>j.pablo.a96@gmail.com</t>
  </si>
  <si>
    <t>jk.reyes@hotmail.com</t>
  </si>
  <si>
    <t>alonso.ge89@gmail.com</t>
  </si>
  <si>
    <t>alexguapiles16@gmail.com</t>
  </si>
  <si>
    <t>henryleandro1@hotmail.com</t>
  </si>
  <si>
    <t>warrencordero104@gmail.com</t>
  </si>
  <si>
    <t>yoxen.brenes@gmail.com</t>
  </si>
  <si>
    <t>khebici@gmail.com</t>
  </si>
  <si>
    <t>alan.perez@arcelormittal.com</t>
  </si>
  <si>
    <t>jose.montero@arcelormittal.com</t>
  </si>
  <si>
    <t>msolano04@hotmail.com</t>
  </si>
  <si>
    <t>hrojas1978@gmail.com</t>
  </si>
  <si>
    <t>wepolthl@gmail.com</t>
  </si>
  <si>
    <t>raynier.fernandez@gmail.com</t>
  </si>
  <si>
    <t>luisgss11@hotmail.com</t>
  </si>
  <si>
    <t>Materia Prima</t>
  </si>
  <si>
    <t>freyman12311@gmail.com</t>
  </si>
  <si>
    <t>emilio.lopez1971@hotmail.com</t>
  </si>
  <si>
    <t>gilmarsandoval7@gmail.com</t>
  </si>
  <si>
    <t>CDA</t>
  </si>
  <si>
    <t>David Castro Mora</t>
  </si>
  <si>
    <t>adri.v.l34@gmail.com</t>
  </si>
  <si>
    <t>victorchinchilla05@gmail.com</t>
  </si>
  <si>
    <t>ramsesj71@gmail.com</t>
  </si>
  <si>
    <t>ricardo.wepold@arcelormittal.com</t>
  </si>
  <si>
    <t>laminador</t>
  </si>
  <si>
    <t>loaizacruzmichael@gmail.com</t>
  </si>
  <si>
    <t>arcejavier44@gmail.com</t>
  </si>
  <si>
    <t>josi506cr@gmail.com</t>
  </si>
  <si>
    <t>hansrp18@gmail.com</t>
  </si>
  <si>
    <t>alexsol2010@hotmail.es</t>
  </si>
  <si>
    <t>andrewcastillo667@gmail.com</t>
  </si>
  <si>
    <t>roberto.gonzales@arcelormittal.com</t>
  </si>
  <si>
    <t>jeihny.mp.perez@arcelormittal.com</t>
  </si>
  <si>
    <t>Empaque</t>
  </si>
  <si>
    <t>randall.ruiz@arcelormittal.com</t>
  </si>
  <si>
    <t>wedeljs@hotmail.com</t>
  </si>
  <si>
    <t>Facturador</t>
  </si>
  <si>
    <t>luis.ds.ramirez@arcelormittal.com</t>
  </si>
  <si>
    <t>alvarezarayajuan@gmail.com</t>
  </si>
  <si>
    <t>jimova21@gmail.com</t>
  </si>
  <si>
    <t>rogergoca1804@gmail.com</t>
  </si>
  <si>
    <t>freyman1797@gmail.com</t>
  </si>
  <si>
    <t>marvinbalto1974@gmail.com</t>
  </si>
  <si>
    <t>jainerbv@outlook.com</t>
  </si>
  <si>
    <t>josolano89@gmail.com</t>
  </si>
  <si>
    <t>nombre</t>
  </si>
  <si>
    <t>codigo_colaborador</t>
  </si>
  <si>
    <t>correo</t>
  </si>
  <si>
    <t>nombre_departamento</t>
  </si>
  <si>
    <t>fecha_de_ingreso</t>
  </si>
  <si>
    <t>dias_disponibles</t>
  </si>
  <si>
    <t>fecha_de_nacimiento</t>
  </si>
  <si>
    <t>area</t>
  </si>
  <si>
    <t>Puesto Trabajo</t>
  </si>
  <si>
    <t>99022422</t>
  </si>
  <si>
    <t>Ademir Martinez Solano</t>
  </si>
  <si>
    <t>Compras - Bodega Repuestos</t>
  </si>
  <si>
    <t>Bodega de Repuestos y Compras</t>
  </si>
  <si>
    <t>Auxiliar De Bodega - Repuestos</t>
  </si>
  <si>
    <t>99022183</t>
  </si>
  <si>
    <t>Alan Perez Obando</t>
  </si>
  <si>
    <t>99021499</t>
  </si>
  <si>
    <t>Adonay Antonio Solano Romero</t>
  </si>
  <si>
    <t>adonay.romero@arcelormittal.com</t>
  </si>
  <si>
    <t>Mantenimiento - Area Mecánica</t>
  </si>
  <si>
    <t>Mantenimiento Mecánico</t>
  </si>
  <si>
    <t>Operador De Planta De Aguas</t>
  </si>
  <si>
    <t>99021671</t>
  </si>
  <si>
    <t>Leonardo Wepolt Rojas</t>
  </si>
  <si>
    <t>99022433</t>
  </si>
  <si>
    <t>Angie Cornejo Solis</t>
  </si>
  <si>
    <t>angie.solis@arcelormittal.com</t>
  </si>
  <si>
    <t>Departamento De Finanzas</t>
  </si>
  <si>
    <t>Administrativo</t>
  </si>
  <si>
    <t>Analista Contable Junior</t>
  </si>
  <si>
    <t>99022384</t>
  </si>
  <si>
    <t>Adrian Villegas Leon</t>
  </si>
  <si>
    <t>Logística-Cda</t>
  </si>
  <si>
    <t>Auxiliar De Bodega - Despacho</t>
  </si>
  <si>
    <t>99022447</t>
  </si>
  <si>
    <t>Esteban Soto Gonzalez</t>
  </si>
  <si>
    <t>es2765974@gmail.com</t>
  </si>
  <si>
    <t>Logística-Productos Largos</t>
  </si>
  <si>
    <t>99022350</t>
  </si>
  <si>
    <t>Leonardo Corrales Cerdas</t>
  </si>
  <si>
    <t>leonardo.c.cerdas@arcelormittal.com</t>
  </si>
  <si>
    <t>Analista De Controlling Senior</t>
  </si>
  <si>
    <t>99022331</t>
  </si>
  <si>
    <t>Aldo Steward Ramirez Chavarria</t>
  </si>
  <si>
    <t>aldo.chavarria@arcelormittal.com</t>
  </si>
  <si>
    <t>Analista De Credito &amp; Cobro</t>
  </si>
  <si>
    <t>99022441</t>
  </si>
  <si>
    <t>Alexandra Zapata Fajardo</t>
  </si>
  <si>
    <t>alexandra.fajardo@arcelormittal.com</t>
  </si>
  <si>
    <t>99022435</t>
  </si>
  <si>
    <t>Kenneth Trejos Sibaja</t>
  </si>
  <si>
    <t>kenneth.sibaja@arcelormittal.com</t>
  </si>
  <si>
    <t>99022351</t>
  </si>
  <si>
    <t>Alejandro Valenciano Arley</t>
  </si>
  <si>
    <t>99022361</t>
  </si>
  <si>
    <t>Jose Carlos Baltodano Obando</t>
  </si>
  <si>
    <t>jose.obando@arcelormittal.com</t>
  </si>
  <si>
    <t>Distribución Mi Y Me</t>
  </si>
  <si>
    <t>Analista De Logistica</t>
  </si>
  <si>
    <t>99022313</t>
  </si>
  <si>
    <t>Jose Pablo Ulate Araya</t>
  </si>
  <si>
    <t>jose.araya@arcelormittal.com</t>
  </si>
  <si>
    <t>99022365</t>
  </si>
  <si>
    <t>Alexander Artavia Araya</t>
  </si>
  <si>
    <t>Procesos - Talleres</t>
  </si>
  <si>
    <t>Taller de Precisión</t>
  </si>
  <si>
    <t>Mecánico De Corrugadora</t>
  </si>
  <si>
    <t>99022457</t>
  </si>
  <si>
    <t>Jose David Molina Gomez</t>
  </si>
  <si>
    <t>dvdmg21@gmail.com</t>
  </si>
  <si>
    <t>Centro De Distribución Y Logística</t>
  </si>
  <si>
    <t>Analista De Ventas</t>
  </si>
  <si>
    <t>99022426</t>
  </si>
  <si>
    <t>Joselyn Solano Morales</t>
  </si>
  <si>
    <t>joselyn.morales@arcelormittal.com</t>
  </si>
  <si>
    <t>Departamento De Ventas</t>
  </si>
  <si>
    <t>99022298</t>
  </si>
  <si>
    <t>Leonardo Enrique Arce Parajeles</t>
  </si>
  <si>
    <t>leonardo.parajeles@arcelormittal.com</t>
  </si>
  <si>
    <t>Analista De Ventas - Log. Red Disrtrib.</t>
  </si>
  <si>
    <t>99021665</t>
  </si>
  <si>
    <t>Alexis Vinicio Solano Campos</t>
  </si>
  <si>
    <t>Departamento De Producción-5</t>
  </si>
  <si>
    <t>Evacución</t>
  </si>
  <si>
    <t>99021077</t>
  </si>
  <si>
    <t>Johnny Elder Rojas Araya</t>
  </si>
  <si>
    <t>johnny.araya@arcelormittal.com</t>
  </si>
  <si>
    <t>Departamento De Producción-3</t>
  </si>
  <si>
    <t>99022430</t>
  </si>
  <si>
    <t>Catalina Mora Montero</t>
  </si>
  <si>
    <t>catalina.montero@arcelormittal.com</t>
  </si>
  <si>
    <t>Analista Inteligencia De Mercados</t>
  </si>
  <si>
    <t>99021480</t>
  </si>
  <si>
    <t>Allan Alfonso Hidalgo Araya</t>
  </si>
  <si>
    <t>allan.hidalgo66@gmail.com</t>
  </si>
  <si>
    <t>Facturador - Despachador</t>
  </si>
  <si>
    <t>99022449</t>
  </si>
  <si>
    <t>Juan Gerardo Alvarez Araya</t>
  </si>
  <si>
    <t>Armador En Robot</t>
  </si>
  <si>
    <t>99022320</t>
  </si>
  <si>
    <t>Allan Solis Solis</t>
  </si>
  <si>
    <t>allan.solis@arcelormittal.com</t>
  </si>
  <si>
    <t>Gerencia Rrhh, Ti &amp; Innovacion</t>
  </si>
  <si>
    <t>Coordinador De Información E Innovación</t>
  </si>
  <si>
    <t>99022376</t>
  </si>
  <si>
    <t>Andrea Rodriguez Arrieta</t>
  </si>
  <si>
    <t>andrea.arrieta@arcelormittal.com</t>
  </si>
  <si>
    <t>Departamento Marketing</t>
  </si>
  <si>
    <t>Especialista De Marketing</t>
  </si>
  <si>
    <t>99022073</t>
  </si>
  <si>
    <t>Carlos Andres Berrocal Jimenez</t>
  </si>
  <si>
    <t>carlos.berrocal@arcelormittal.com</t>
  </si>
  <si>
    <t>Gerencia Proyectos Y Asesoria Tecnica</t>
  </si>
  <si>
    <t>99022458</t>
  </si>
  <si>
    <t>Andrew Castillo Vega</t>
  </si>
  <si>
    <t>Estibador</t>
  </si>
  <si>
    <t>99022429</t>
  </si>
  <si>
    <t>Jeremy Vargas Moraga</t>
  </si>
  <si>
    <t>yeremyvargas23@gmail.com</t>
  </si>
  <si>
    <t>99022460</t>
  </si>
  <si>
    <t>Jorge Esquivel Fernandez</t>
  </si>
  <si>
    <t>jorgeesquivelfer1997@gmail.com</t>
  </si>
  <si>
    <t>99022461</t>
  </si>
  <si>
    <t>Jose Andres Gonzalez Chavarria</t>
  </si>
  <si>
    <t>gonzalez13josechavarria@gmail.com</t>
  </si>
  <si>
    <t>99022462</t>
  </si>
  <si>
    <t>Jose Ruben Portuguez Arce</t>
  </si>
  <si>
    <t>joseportuguez@yahoo.com</t>
  </si>
  <si>
    <t>99022451</t>
  </si>
  <si>
    <t>Junior Miranda Lopez</t>
  </si>
  <si>
    <t>jl60862341@gmail.com</t>
  </si>
  <si>
    <t>99022392</t>
  </si>
  <si>
    <t>Freyman Mata Montero</t>
  </si>
  <si>
    <t>Auxiliar De Bodega</t>
  </si>
  <si>
    <t>99022366</t>
  </si>
  <si>
    <t>Gilmar Gerardo Sandoval Murillo</t>
  </si>
  <si>
    <t>99022381</t>
  </si>
  <si>
    <t>Jairo Mauricio Arce Mora</t>
  </si>
  <si>
    <t>jairoarcre1397@gmail.com</t>
  </si>
  <si>
    <t>99021431</t>
  </si>
  <si>
    <t>Angel Emilio Lopez Gutierrez</t>
  </si>
  <si>
    <t>Logística-Materia Prima</t>
  </si>
  <si>
    <t>Gruero De Materia Prima</t>
  </si>
  <si>
    <t>99022396</t>
  </si>
  <si>
    <t>Josimar Mairena Martinez</t>
  </si>
  <si>
    <t>99022253</t>
  </si>
  <si>
    <t>Freyman Montero Arguedas</t>
  </si>
  <si>
    <t>Auxiliar De Bodega - Materia Prima</t>
  </si>
  <si>
    <t>99022246</t>
  </si>
  <si>
    <t>Luis Gerardo Solano Solorzano</t>
  </si>
  <si>
    <t>99022388</t>
  </si>
  <si>
    <t>Argenis Retana Naranjo</t>
  </si>
  <si>
    <t>naranjo22retana@gmail.com</t>
  </si>
  <si>
    <t>Departamento De Producción-4</t>
  </si>
  <si>
    <t>Ayudante De Laminación</t>
  </si>
  <si>
    <t>99022370</t>
  </si>
  <si>
    <t>Arlen Franz Guillen Berrocal</t>
  </si>
  <si>
    <t>arlen.berrocal@arcelormittal.com</t>
  </si>
  <si>
    <t>Gerencia De Planta</t>
  </si>
  <si>
    <t>Planeer De Mantenimiento</t>
  </si>
  <si>
    <t>99022132</t>
  </si>
  <si>
    <t>Eduardo Mena Vargas</t>
  </si>
  <si>
    <t>menaeduardo28@gmail.com</t>
  </si>
  <si>
    <t>Procesos - Laboratorio</t>
  </si>
  <si>
    <t>Laboratorio y Calidad</t>
  </si>
  <si>
    <t>Auxiliar De Laboratorio</t>
  </si>
  <si>
    <t>99021619</t>
  </si>
  <si>
    <t>Eduardo Rodolfo Hidalgo Hernandez</t>
  </si>
  <si>
    <t>edu.hidal31@gmail.com</t>
  </si>
  <si>
    <t>99022394</t>
  </si>
  <si>
    <t>Jose Pablo Arce Mendez</t>
  </si>
  <si>
    <t>99021598</t>
  </si>
  <si>
    <t>Bryan Araya Gonzalez</t>
  </si>
  <si>
    <t>brayan.araya@arcelormittal.com</t>
  </si>
  <si>
    <t>Departamento De Procesos-1</t>
  </si>
  <si>
    <t>Ingeniero De Procesos</t>
  </si>
  <si>
    <t>99022330</t>
  </si>
  <si>
    <t>Bryan Fonseca Quiros</t>
  </si>
  <si>
    <t>bryan.quiros@arcelormittal.com</t>
  </si>
  <si>
    <t>Mantenimiento - Area Eléctrica</t>
  </si>
  <si>
    <t>Mantenimiento Eléctrico</t>
  </si>
  <si>
    <t>Eléctrico Del Tren</t>
  </si>
  <si>
    <t>99022254</t>
  </si>
  <si>
    <t>Carlos Quiros Badilla</t>
  </si>
  <si>
    <t>quiroba2009@hotmail.com</t>
  </si>
  <si>
    <t>99022355</t>
  </si>
  <si>
    <t>Calex Chavez Gazo</t>
  </si>
  <si>
    <t>calexchaves2891gazo@gmail.com</t>
  </si>
  <si>
    <t>Mecánico De Guías</t>
  </si>
  <si>
    <t>99022448</t>
  </si>
  <si>
    <t>Jainer Bermudez Venegas</t>
  </si>
  <si>
    <t>99021617</t>
  </si>
  <si>
    <t>Jose Gerardo Montero Brenes</t>
  </si>
  <si>
    <t>Compras - Planta</t>
  </si>
  <si>
    <t>Comprador</t>
  </si>
  <si>
    <t>99018505</t>
  </si>
  <si>
    <t>Jose Maria Chacon Obando</t>
  </si>
  <si>
    <t>jose.mchacon@arcelormittal.com</t>
  </si>
  <si>
    <t>Contador General</t>
  </si>
  <si>
    <t>99021601</t>
  </si>
  <si>
    <t>Carlos Enrique Leon Azofeifa</t>
  </si>
  <si>
    <t>clf7498@gmail.com</t>
  </si>
  <si>
    <t>Operador De Atadoras</t>
  </si>
  <si>
    <t>99021625</t>
  </si>
  <si>
    <t>Jairo Sanchez Lopez</t>
  </si>
  <si>
    <t>jairocr1981@gmail.com</t>
  </si>
  <si>
    <t>Controlador De Mantos</t>
  </si>
  <si>
    <t>99021724</t>
  </si>
  <si>
    <t>Dennis Munoz Gonzalez</t>
  </si>
  <si>
    <t>denis.munoz@arcelormittal.com</t>
  </si>
  <si>
    <t>Coordinador De Compensación &amp; Beneficios</t>
  </si>
  <si>
    <t>99022016</t>
  </si>
  <si>
    <t>Cilliam Barrantes Naranjo</t>
  </si>
  <si>
    <t>cilliam.barrantes@arcelormittal.com</t>
  </si>
  <si>
    <t>Gerencia General</t>
  </si>
  <si>
    <t>Gerente De Proyectos &amp; Asesoria Tecnica</t>
  </si>
  <si>
    <t>99022284</t>
  </si>
  <si>
    <t>Daniel Myers Mora</t>
  </si>
  <si>
    <t>daniel.myers@arcelormittal.com</t>
  </si>
  <si>
    <t>Departamento De Logística</t>
  </si>
  <si>
    <t>Supervisor De Planeación Transporte Mi &amp; Me</t>
  </si>
  <si>
    <t>99022184</t>
  </si>
  <si>
    <t>david.mora@arcelormittal.com.br</t>
  </si>
  <si>
    <t>Logística-Planta</t>
  </si>
  <si>
    <t>Supervisor De Logística</t>
  </si>
  <si>
    <t>99022444</t>
  </si>
  <si>
    <t>Jeihny Picado Pérez</t>
  </si>
  <si>
    <t>Coordinador De Recursos Humanos</t>
  </si>
  <si>
    <t>99022327</t>
  </si>
  <si>
    <t>David Eduardo Castro Rosales</t>
  </si>
  <si>
    <t>david.rosales@arcelormittal.com</t>
  </si>
  <si>
    <t>Encargado De Sitio De It</t>
  </si>
  <si>
    <t>99022154</t>
  </si>
  <si>
    <t>Luis Humberto Mendez Bendana</t>
  </si>
  <si>
    <t>luiz.mendez@arcelormittal.com</t>
  </si>
  <si>
    <t>Coordinador De Salud &amp; Seguridad Ocupac.</t>
  </si>
  <si>
    <t>99021416</t>
  </si>
  <si>
    <t>Dennis Mauricio Sanchez Obando</t>
  </si>
  <si>
    <t>dennis649t@gmail.com</t>
  </si>
  <si>
    <t>Mecánico De Armado De Cajas</t>
  </si>
  <si>
    <t>99022386</t>
  </si>
  <si>
    <t>Jeffry Hernandez Azofeifa</t>
  </si>
  <si>
    <t>jefrireyes2323@gmail.com</t>
  </si>
  <si>
    <t>99022387</t>
  </si>
  <si>
    <t>Justin Marin Ramirez</t>
  </si>
  <si>
    <t>99022369</t>
  </si>
  <si>
    <t>Eddie Josue Solano Astorga</t>
  </si>
  <si>
    <t>Mecánico De Cnc</t>
  </si>
  <si>
    <t>99022058</t>
  </si>
  <si>
    <t>Hector Gerardo Umana Vega</t>
  </si>
  <si>
    <t>99021673</t>
  </si>
  <si>
    <t>Juan Carlos Reyes Mesen</t>
  </si>
  <si>
    <t>99022454</t>
  </si>
  <si>
    <t>Johel Soza Vasquez</t>
  </si>
  <si>
    <t>johelvasquez31@gmail.com</t>
  </si>
  <si>
    <t>Cortador De Muestras</t>
  </si>
  <si>
    <t>99022452</t>
  </si>
  <si>
    <t>Kenneth Paniagua Cerdas</t>
  </si>
  <si>
    <t>kennethpc28@gmail.com</t>
  </si>
  <si>
    <t>99021597</t>
  </si>
  <si>
    <t>Edi Cruz Chinchilla</t>
  </si>
  <si>
    <t>eddy73807@gmail.com</t>
  </si>
  <si>
    <t>Mecánico De Mantenimiento</t>
  </si>
  <si>
    <t>99022445</t>
  </si>
  <si>
    <t>Henry Leandro Arias</t>
  </si>
  <si>
    <t>99022318</t>
  </si>
  <si>
    <t>Franklin Zuniga Ramirez</t>
  </si>
  <si>
    <t>franklin.ramirez@arcelormittal.com</t>
  </si>
  <si>
    <t>Ejecutivo De Ventas</t>
  </si>
  <si>
    <t>99022341</t>
  </si>
  <si>
    <t>Jesus Gerardo Pereira Quiros</t>
  </si>
  <si>
    <t>jesus.quiros@arcelormittal.com</t>
  </si>
  <si>
    <t>Departamento De Ventas Red</t>
  </si>
  <si>
    <t>99022304</t>
  </si>
  <si>
    <t>Jose Luis Castillo Barboza</t>
  </si>
  <si>
    <t>jose.barboza@arcelormittal.com</t>
  </si>
  <si>
    <t>99022425</t>
  </si>
  <si>
    <t>Josue Sanchez Cordero</t>
  </si>
  <si>
    <t>josue.cordero@arcelormittal.com</t>
  </si>
  <si>
    <t>99022339</t>
  </si>
  <si>
    <t>Luis Alonso Briceno Matarrita</t>
  </si>
  <si>
    <t>luis.matarrita@arcelormittal.com</t>
  </si>
  <si>
    <t>99022307</t>
  </si>
  <si>
    <t>Luis Fernando Salazar Murillo</t>
  </si>
  <si>
    <t>luis.murillo@arcelormittal.com</t>
  </si>
  <si>
    <t>99022391</t>
  </si>
  <si>
    <t>Henry Rojas Porras</t>
  </si>
  <si>
    <t>Eléctrico De Mantenimiento</t>
  </si>
  <si>
    <t>99021663</t>
  </si>
  <si>
    <t>Jimmy Ovares Mejia</t>
  </si>
  <si>
    <t>99021489</t>
  </si>
  <si>
    <t>Eduardo Obando Fonseca</t>
  </si>
  <si>
    <t>pirulo21489@gmail.com</t>
  </si>
  <si>
    <t>Gruero De Despacho</t>
  </si>
  <si>
    <t>99022382</t>
  </si>
  <si>
    <t>Jairo David Vargas Montoya</t>
  </si>
  <si>
    <t>jv8341133@gmail.com</t>
  </si>
  <si>
    <t>99022411</t>
  </si>
  <si>
    <t>Lorenzo Lopez Badilla</t>
  </si>
  <si>
    <t>lorenzobadilla14@gmail.com</t>
  </si>
  <si>
    <t>99022378</t>
  </si>
  <si>
    <t>Luis Angel Berrocal Segura</t>
  </si>
  <si>
    <t>99022407</t>
  </si>
  <si>
    <t>Eduardo Ortiz Barrantes</t>
  </si>
  <si>
    <t>eduardoortizbarrantes910@gmail.com</t>
  </si>
  <si>
    <t>Soldador De Laminación</t>
  </si>
  <si>
    <t>99022459</t>
  </si>
  <si>
    <t>Jeancarlo Vargas Hernandez</t>
  </si>
  <si>
    <t>jeancarlosv205@gmail.com</t>
  </si>
  <si>
    <t>Departamento De Producción-2</t>
  </si>
  <si>
    <t>Empaquetador</t>
  </si>
  <si>
    <t>99021656</t>
  </si>
  <si>
    <t>Eduardo Rodrigo Ortiz Calvo</t>
  </si>
  <si>
    <t>99022043</t>
  </si>
  <si>
    <t>Jose Guillermo Rosales Murillo</t>
  </si>
  <si>
    <t>joseguillermorosalesmurillo1@gmail.com</t>
  </si>
  <si>
    <t>99022353</t>
  </si>
  <si>
    <t>Fabian Lacayo Campos</t>
  </si>
  <si>
    <t>Operador De Pupitre Laminación</t>
  </si>
  <si>
    <t>99021003</t>
  </si>
  <si>
    <t>Gerardo Vega Mora</t>
  </si>
  <si>
    <t>gerardo.vega@arcelormittal.com</t>
  </si>
  <si>
    <t>Gerente De Área Del Centro Distribución</t>
  </si>
  <si>
    <t>99022405</t>
  </si>
  <si>
    <t>Gerson Brenes Cubero</t>
  </si>
  <si>
    <t>Operador De Atadoras Y Etiquetado</t>
  </si>
  <si>
    <t>99022401</t>
  </si>
  <si>
    <t>Jefferson Medrano Berrocal</t>
  </si>
  <si>
    <t>jeffmedrano03@gmail.com</t>
  </si>
  <si>
    <t>99022402</t>
  </si>
  <si>
    <t>Jurguen Solano Jaen</t>
  </si>
  <si>
    <t>jurguen30@gmail.com</t>
  </si>
  <si>
    <t>99022076</t>
  </si>
  <si>
    <t>Jose Pablo Quintero Montero</t>
  </si>
  <si>
    <t>jose.quintero@arcelormittal.com</t>
  </si>
  <si>
    <t>Especialista De Riesgos &amp; Compliance</t>
  </si>
  <si>
    <t>99022390</t>
  </si>
  <si>
    <t>Hans Ramirez Parajeles</t>
  </si>
  <si>
    <t>Operador De T-04</t>
  </si>
  <si>
    <t>99022440</t>
  </si>
  <si>
    <t>Hector Zuniga Diaz</t>
  </si>
  <si>
    <t>Gruero De Laminación</t>
  </si>
  <si>
    <t>99022204</t>
  </si>
  <si>
    <t>Josiee Esteban Gomez Calvo</t>
  </si>
  <si>
    <t>99022455</t>
  </si>
  <si>
    <t>Hugo Mora Cubero</t>
  </si>
  <si>
    <t>hugex18@gmail.com</t>
  </si>
  <si>
    <t>Mecánico De Robot</t>
  </si>
  <si>
    <t>99021744</t>
  </si>
  <si>
    <t>Jose Francisco Solano Castillo</t>
  </si>
  <si>
    <t>jose.solano@arcelormittal.com</t>
  </si>
  <si>
    <t>Gerente De Cadena De Abastecimiento</t>
  </si>
  <si>
    <t>99021037</t>
  </si>
  <si>
    <t>Juan Pablo Vargas Rodriguez</t>
  </si>
  <si>
    <t>juan.pablovargas@arcelormittal.com</t>
  </si>
  <si>
    <t>Gerente De Producción</t>
  </si>
  <si>
    <t>99022368</t>
  </si>
  <si>
    <t>Luis Alejandro Hernandez Urdaneta</t>
  </si>
  <si>
    <t>luis.urdaneta@arcelormittal.com</t>
  </si>
  <si>
    <t>Gerente De Rrhh, Ti &amp; Innovación</t>
  </si>
  <si>
    <t>Javier Arce Mendez</t>
  </si>
  <si>
    <t>Mecánico Del Tren</t>
  </si>
  <si>
    <t>99021708</t>
  </si>
  <si>
    <t>Johnny Gerardo Barquero Hernandez</t>
  </si>
  <si>
    <t>johnny.barquero@arcelormittal.com</t>
  </si>
  <si>
    <t>Gerente Financiero</t>
  </si>
  <si>
    <t>99021305</t>
  </si>
  <si>
    <t>Jose Rodrigo Montoya Valverde</t>
  </si>
  <si>
    <t>rodrigo.montoya@arcelormittal.com</t>
  </si>
  <si>
    <t>Mantenimiento - Administrativos</t>
  </si>
  <si>
    <t>Supervisor De Área Mecánica</t>
  </si>
  <si>
    <t>99022315</t>
  </si>
  <si>
    <t>Lilliana Cordoba Quesada</t>
  </si>
  <si>
    <t>lilliana.quesada@arcelormittal.com</t>
  </si>
  <si>
    <t>Recepcionista</t>
  </si>
  <si>
    <t>99022326</t>
  </si>
  <si>
    <t>Karol Tatiana Gomez Chavarria</t>
  </si>
  <si>
    <t>karol.chavarria@arcelormittal.com</t>
  </si>
  <si>
    <t>Compras - Supervisores</t>
  </si>
  <si>
    <t>Supervisor De Compras - Ofc</t>
  </si>
  <si>
    <t>99022340</t>
  </si>
  <si>
    <t>Luis Diego Sanchez Ramirez</t>
  </si>
  <si>
    <t>Supervisor De Compras - Pl</t>
  </si>
  <si>
    <t>99022397</t>
  </si>
  <si>
    <t>Maikel Cruz Ramirez</t>
  </si>
  <si>
    <t>maikelcruz97@gmail.com</t>
  </si>
  <si>
    <t>99021645</t>
  </si>
  <si>
    <t>Marco Tulio Sanchez Arce</t>
  </si>
  <si>
    <t>99022463</t>
  </si>
  <si>
    <t>Marcos Andrey Chaves Gonzalez</t>
  </si>
  <si>
    <t>andreychaves748@gmail.com</t>
  </si>
  <si>
    <t>99022453</t>
  </si>
  <si>
    <t>Maria Jose Carballo Brenes</t>
  </si>
  <si>
    <t>maria.carballo@arcelormittal.com</t>
  </si>
  <si>
    <t>Área De Marketing</t>
  </si>
  <si>
    <t>Analista De Canales Digitales</t>
  </si>
  <si>
    <t>99021738</t>
  </si>
  <si>
    <t>Mario Enrique Brenes Morales</t>
  </si>
  <si>
    <t>mario.brenes@arcelormittal.com</t>
  </si>
  <si>
    <t>Gerente De Área Cdad. Total Y Medio Amb.</t>
  </si>
  <si>
    <t>99018533</t>
  </si>
  <si>
    <t>Marvin Alexis Trana Chaves</t>
  </si>
  <si>
    <t>marvin.trana@arcelormittal.com</t>
  </si>
  <si>
    <t>Asistente De Tesorería</t>
  </si>
  <si>
    <t>99021486</t>
  </si>
  <si>
    <t>Marvin Arce Mendez</t>
  </si>
  <si>
    <t>arce3270@gmail.com</t>
  </si>
  <si>
    <t>99021404</t>
  </si>
  <si>
    <t>Marvin Arias Mendez</t>
  </si>
  <si>
    <t>marvinariasmendez1203@gmail.com</t>
  </si>
  <si>
    <t>99021121</t>
  </si>
  <si>
    <t>Marvin Villegas Baltodano</t>
  </si>
  <si>
    <t>99022122</t>
  </si>
  <si>
    <t>Michael Andres Rojas Quesada</t>
  </si>
  <si>
    <t>michael.rojas@arcelormittal.com</t>
  </si>
  <si>
    <t>Encargado De Bodega De Materia Prima</t>
  </si>
  <si>
    <t>99022404</t>
  </si>
  <si>
    <t>Michael Badilla Castrillo</t>
  </si>
  <si>
    <t>99022431</t>
  </si>
  <si>
    <t>Michael Loaiza Cruz</t>
  </si>
  <si>
    <t>99022088</t>
  </si>
  <si>
    <t>Michael Valverde Nunez</t>
  </si>
  <si>
    <t>michael.valverde@arcelormittal.com</t>
  </si>
  <si>
    <t>Departamento De Producción-1</t>
  </si>
  <si>
    <t>Supervisor De Producción</t>
  </si>
  <si>
    <t>99022371</t>
  </si>
  <si>
    <t>Michelle Maria Izaguirre Barboza</t>
  </si>
  <si>
    <t>michelle.barboza@arcelormittal.com</t>
  </si>
  <si>
    <t>Especialista De Recursos Humanos</t>
  </si>
  <si>
    <t>99022367</t>
  </si>
  <si>
    <t>Miguel Angel Wepolt Serrano</t>
  </si>
  <si>
    <t>mwepolth@gmail.com</t>
  </si>
  <si>
    <t>99021567</t>
  </si>
  <si>
    <t>Miguel Garcia Rivera</t>
  </si>
  <si>
    <t>miguel.garciarivera@arcelormittal.com</t>
  </si>
  <si>
    <t>Supervisor De Área De Precisión</t>
  </si>
  <si>
    <t>99022261</t>
  </si>
  <si>
    <t>Milagro Morales Retana</t>
  </si>
  <si>
    <t>milagros.retana@arcelormittal.com</t>
  </si>
  <si>
    <t>Coordinadora Comunicación Interna Y Rse</t>
  </si>
  <si>
    <t>99022221</t>
  </si>
  <si>
    <t>Nicolas Cesar Broggi</t>
  </si>
  <si>
    <t>nicolas.broggi@arcelormittal.com</t>
  </si>
  <si>
    <t>Gerente Comercial Centroamérica</t>
  </si>
  <si>
    <t>99022357</t>
  </si>
  <si>
    <t>Priscilla Alvarado Solano</t>
  </si>
  <si>
    <t>priscilla.alvarado@arcelormittal.com</t>
  </si>
  <si>
    <t>99022464</t>
  </si>
  <si>
    <t>Rafael Esteban Salas Ramirez</t>
  </si>
  <si>
    <t>salasramirezesteban@gmail.com</t>
  </si>
  <si>
    <t>99022400</t>
  </si>
  <si>
    <t>Ramses Jimenez Salas</t>
  </si>
  <si>
    <t>99021714</t>
  </si>
  <si>
    <t>Randall Gerardo Ruiz Vargas</t>
  </si>
  <si>
    <t>Supervisor De Control De Calidad</t>
  </si>
  <si>
    <t>99021485</t>
  </si>
  <si>
    <t>Randall Vega Rodriguez</t>
  </si>
  <si>
    <t>Encargado De Bodega De Despacho</t>
  </si>
  <si>
    <t>99018556</t>
  </si>
  <si>
    <t>Randy Sandoval Espinoza</t>
  </si>
  <si>
    <t>randy.sandoval@arcelormittal.com</t>
  </si>
  <si>
    <t>99022436</t>
  </si>
  <si>
    <t>Raynier Fernandez Aguilar</t>
  </si>
  <si>
    <t>99022406</t>
  </si>
  <si>
    <t>Reimond Najera Badilla</t>
  </si>
  <si>
    <t>Operador De Pupitre Principal</t>
  </si>
  <si>
    <t>99022001</t>
  </si>
  <si>
    <t>Ricardo Wepold Rojas</t>
  </si>
  <si>
    <t>Supervisor De Área Eléctrica</t>
  </si>
  <si>
    <t>99021717</t>
  </si>
  <si>
    <t>Roberto Gonzalez Larrad</t>
  </si>
  <si>
    <t>Asistente De Planeamiento De Ingeniería</t>
  </si>
  <si>
    <t>99021556</t>
  </si>
  <si>
    <t>Roberto Monge Vargas</t>
  </si>
  <si>
    <t>99022332</t>
  </si>
  <si>
    <t>Roberto Villalobos Blanco</t>
  </si>
  <si>
    <t>robertovillalobos843@gmail.com</t>
  </si>
  <si>
    <t>99022314</t>
  </si>
  <si>
    <t>Rodrigo Augusto Archer</t>
  </si>
  <si>
    <t>rodrigo.archer@arcelormittal.com</t>
  </si>
  <si>
    <t>Dirección Ejecutiva</t>
  </si>
  <si>
    <t>Gerente De País</t>
  </si>
  <si>
    <t>99022465</t>
  </si>
  <si>
    <t>Rodrigo Gonzalez Cardenas</t>
  </si>
  <si>
    <t>rg15287@gmail.com</t>
  </si>
  <si>
    <t>Roger Alejandro Gomez Calvo</t>
  </si>
  <si>
    <t>99022421</t>
  </si>
  <si>
    <t>Roig Rojas Chacon</t>
  </si>
  <si>
    <t>roig.chacon@arcelormittal.com</t>
  </si>
  <si>
    <t>99022450</t>
  </si>
  <si>
    <t>Rojairo Leon Jimenez</t>
  </si>
  <si>
    <t>rojairoleon10@gmail.com</t>
  </si>
  <si>
    <t>99022385</t>
  </si>
  <si>
    <t>Rolando Quiros Hernandez</t>
  </si>
  <si>
    <t>rolando.hernandez@arcelormittal.com</t>
  </si>
  <si>
    <t>99021314</t>
  </si>
  <si>
    <t>Ronny Quesada Garita</t>
  </si>
  <si>
    <t>ronny.quesada@arcelormittal.com</t>
  </si>
  <si>
    <t>99022354</t>
  </si>
  <si>
    <t>Roy Gonzalez Guido</t>
  </si>
  <si>
    <t>roy.guido@arcelormittal.com.br</t>
  </si>
  <si>
    <t>99022344</t>
  </si>
  <si>
    <t>Ruben Barrantes Sanchez</t>
  </si>
  <si>
    <t>rubenbarrantex@gmail.com</t>
  </si>
  <si>
    <t>99022333</t>
  </si>
  <si>
    <t>Sergio Alonso Elizondo Guevara</t>
  </si>
  <si>
    <t>99022438</t>
  </si>
  <si>
    <t>Sergio Alvarado Gómez</t>
  </si>
  <si>
    <t>99022466</t>
  </si>
  <si>
    <t>Sergio Arias Martinez</t>
  </si>
  <si>
    <t>ariasmartinezsergio99@hotmail.com</t>
  </si>
  <si>
    <t>99022247</t>
  </si>
  <si>
    <t>Shady Mohmoud Viquez</t>
  </si>
  <si>
    <t>shady.viquez@arcelormittal.com</t>
  </si>
  <si>
    <t>99022152</t>
  </si>
  <si>
    <t>Stanley Abrahams Moya</t>
  </si>
  <si>
    <t>stanley.35abrahams@gmail.com</t>
  </si>
  <si>
    <t>99021495</t>
  </si>
  <si>
    <t>Steven Gutierrez Villalobos</t>
  </si>
  <si>
    <t>steven.gutierrez@arcelormittal.com</t>
  </si>
  <si>
    <t>99022379</t>
  </si>
  <si>
    <t>Victor Joseph Chinchilla Sanchez</t>
  </si>
  <si>
    <t>99021622</t>
  </si>
  <si>
    <t>Victor Manuel Jimenez Mora</t>
  </si>
  <si>
    <t>victor.jimenez@arcelormittal.com</t>
  </si>
  <si>
    <t>99022208</t>
  </si>
  <si>
    <t>Walter Jesus Soto Juarez</t>
  </si>
  <si>
    <t>waso08@live.com</t>
  </si>
  <si>
    <t>99022352</t>
  </si>
  <si>
    <t>Warren Cordero Rios</t>
  </si>
  <si>
    <t>99022380</t>
  </si>
  <si>
    <t>Wedel Jesus Jimenez Soto</t>
  </si>
  <si>
    <t>99021371</t>
  </si>
  <si>
    <t>Gilbert Navarro Guillen</t>
  </si>
  <si>
    <t>gilbert.navarro@arcelormittal.com</t>
  </si>
  <si>
    <t>-</t>
  </si>
  <si>
    <t>99022456</t>
  </si>
  <si>
    <t>Vanessa Suarez Gonzalez</t>
  </si>
  <si>
    <t>vanessa.suarez@arcelormittal.com</t>
  </si>
  <si>
    <t>Especialista De Productos Planos</t>
  </si>
  <si>
    <t>99022467</t>
  </si>
  <si>
    <t>Victor Hugo Castillo Martinez</t>
  </si>
  <si>
    <t>victorcastillo1688@gmail.com</t>
  </si>
  <si>
    <t>codigo_puesto</t>
  </si>
  <si>
    <t>20200327003050207</t>
  </si>
  <si>
    <t>analista comercial</t>
  </si>
  <si>
    <t>20200327003057917</t>
  </si>
  <si>
    <t>analista contable junior</t>
  </si>
  <si>
    <t>20201127031815737</t>
  </si>
  <si>
    <t>analista de canales digitales</t>
  </si>
  <si>
    <t>20200327003105802</t>
  </si>
  <si>
    <t>analista de controlling senior</t>
  </si>
  <si>
    <t>20200327003112263</t>
  </si>
  <si>
    <t>analista de credito &amp; cobro</t>
  </si>
  <si>
    <t>20200327003118534</t>
  </si>
  <si>
    <t>analista de logistica</t>
  </si>
  <si>
    <t>20200327003124647</t>
  </si>
  <si>
    <t>analista de ventas</t>
  </si>
  <si>
    <t>20200327003130876</t>
  </si>
  <si>
    <t>analista de ventas - log. red disrtrib.</t>
  </si>
  <si>
    <t>20201202222526664</t>
  </si>
  <si>
    <t>analista inteligencia de mercados</t>
  </si>
  <si>
    <t>20200420163028466</t>
  </si>
  <si>
    <t>armador en robot</t>
  </si>
  <si>
    <t>20200327003137353</t>
  </si>
  <si>
    <t>asistente de planeamiento de ingeniería</t>
  </si>
  <si>
    <t>20200327003146385</t>
  </si>
  <si>
    <t>asistente de tesorería</t>
  </si>
  <si>
    <t>20210204153921318</t>
  </si>
  <si>
    <t>auxiliar cda</t>
  </si>
  <si>
    <t>20200417161610513</t>
  </si>
  <si>
    <t>auxiliar de bodega</t>
  </si>
  <si>
    <t>20200420163050758</t>
  </si>
  <si>
    <t>auxiliar de bodega - despacho</t>
  </si>
  <si>
    <t>20200422141559616</t>
  </si>
  <si>
    <t>auxiliar de bodega - materia prima</t>
  </si>
  <si>
    <t>20200423041020067</t>
  </si>
  <si>
    <t>auxiliar de bodega - repuestos</t>
  </si>
  <si>
    <t>20200421141406749</t>
  </si>
  <si>
    <t>20200422142253321</t>
  </si>
  <si>
    <t>ayudante de laminación</t>
  </si>
  <si>
    <t>20200421141550659</t>
  </si>
  <si>
    <t>comodín de evacuación</t>
  </si>
  <si>
    <t>20200327003151676</t>
  </si>
  <si>
    <t>comprador</t>
  </si>
  <si>
    <t>20200327003157038</t>
  </si>
  <si>
    <t>contador general</t>
  </si>
  <si>
    <t>20200420162947196</t>
  </si>
  <si>
    <t>controlador de colas</t>
  </si>
  <si>
    <t>20200805171607519</t>
  </si>
  <si>
    <t>controlador de mantos</t>
  </si>
  <si>
    <t>20200327003206118</t>
  </si>
  <si>
    <t>coordinador de compensación &amp; beneficios</t>
  </si>
  <si>
    <t>20200327003221968</t>
  </si>
  <si>
    <t>coordinador de información e innovación</t>
  </si>
  <si>
    <t>20200327003225306</t>
  </si>
  <si>
    <t>coordinador de planeamiento</t>
  </si>
  <si>
    <t>20200327003231211</t>
  </si>
  <si>
    <t>coordinador de recursos humanos</t>
  </si>
  <si>
    <t>20200327003238030</t>
  </si>
  <si>
    <t>coordinador de salud &amp; seguridad ocupac.</t>
  </si>
  <si>
    <t>20200327003245745</t>
  </si>
  <si>
    <t>coordinadora comunicación interna y rse</t>
  </si>
  <si>
    <t>20200327003255878</t>
  </si>
  <si>
    <t>coordinadora de recursos humanos</t>
  </si>
  <si>
    <t>20200420163020265</t>
  </si>
  <si>
    <t>cortador de muestras</t>
  </si>
  <si>
    <t>20200327003259082</t>
  </si>
  <si>
    <t>ejecutivo de ventas</t>
  </si>
  <si>
    <t>20200423041057461</t>
  </si>
  <si>
    <t>eléctrico de mantenimiento</t>
  </si>
  <si>
    <t>20200417161558898</t>
  </si>
  <si>
    <t>eléctrico del tren</t>
  </si>
  <si>
    <t>20200422141627188</t>
  </si>
  <si>
    <t>empaquetador</t>
  </si>
  <si>
    <t>20200327003340286</t>
  </si>
  <si>
    <t>encargado de bodega de despacho</t>
  </si>
  <si>
    <t>20200327003457260</t>
  </si>
  <si>
    <t>encargado de bodega de materia prima</t>
  </si>
  <si>
    <t>20200814152523580</t>
  </si>
  <si>
    <t>encargado de mantenimiento mecanico</t>
  </si>
  <si>
    <t>20200327003450734</t>
  </si>
  <si>
    <t>encargado de sitio de it</t>
  </si>
  <si>
    <t>20200402173821091</t>
  </si>
  <si>
    <t>especialista de inteligencia de mercados</t>
  </si>
  <si>
    <t>20200327003503714</t>
  </si>
  <si>
    <t>especialista de marketing</t>
  </si>
  <si>
    <t>20200402173724882</t>
  </si>
  <si>
    <t>especialista de productos largos</t>
  </si>
  <si>
    <t>20201203143626039</t>
  </si>
  <si>
    <t>especialista de productos planos</t>
  </si>
  <si>
    <t>20200327003511064</t>
  </si>
  <si>
    <t>especialista de recursos humanos</t>
  </si>
  <si>
    <t>20200814154943654</t>
  </si>
  <si>
    <t>especialista de riesgos &amp; compliance</t>
  </si>
  <si>
    <t>20200826230954047</t>
  </si>
  <si>
    <t>especialista inteligencia de mercados</t>
  </si>
  <si>
    <t>20200422141633955</t>
  </si>
  <si>
    <t>estibador</t>
  </si>
  <si>
    <t>20200417161632432</t>
  </si>
  <si>
    <t>20210113144702850</t>
  </si>
  <si>
    <t>facturador - despachador</t>
  </si>
  <si>
    <t>20200327003520062</t>
  </si>
  <si>
    <t>gerente comercial centroamérica</t>
  </si>
  <si>
    <t>20200327003611059</t>
  </si>
  <si>
    <t>gerente de cadena de abastecimiento</t>
  </si>
  <si>
    <t>20200327003617922</t>
  </si>
  <si>
    <t>gerente de país</t>
  </si>
  <si>
    <t>20200327003624458</t>
  </si>
  <si>
    <t>gerente de producción</t>
  </si>
  <si>
    <t>20200814155113996</t>
  </si>
  <si>
    <t>gerente de proyectos &amp; asesoria tecnica</t>
  </si>
  <si>
    <t>20200327003632520</t>
  </si>
  <si>
    <t>gerente de rrhh, ti &amp; innovación</t>
  </si>
  <si>
    <t>20200327003530615</t>
  </si>
  <si>
    <t>gerente de área cdad. total y medio amb.</t>
  </si>
  <si>
    <t>20200327003544748</t>
  </si>
  <si>
    <t>gerente de área de compras</t>
  </si>
  <si>
    <t>20200327003554886</t>
  </si>
  <si>
    <t>gerente de área de logística</t>
  </si>
  <si>
    <t>20200327003605253</t>
  </si>
  <si>
    <t>gerente de área del centro distribución</t>
  </si>
  <si>
    <t>20200327003638294</t>
  </si>
  <si>
    <t>gerente financiero</t>
  </si>
  <si>
    <t>20200423041122712</t>
  </si>
  <si>
    <t>gruero de despacho</t>
  </si>
  <si>
    <t>20200422142133410</t>
  </si>
  <si>
    <t>gruero de laminación</t>
  </si>
  <si>
    <t>20200422141615127</t>
  </si>
  <si>
    <t>gruero de materia prima</t>
  </si>
  <si>
    <t>20200420162958070</t>
  </si>
  <si>
    <t>hornero</t>
  </si>
  <si>
    <t>20200327003642857</t>
  </si>
  <si>
    <t>ingeniero de procesos</t>
  </si>
  <si>
    <t>20200420163014908</t>
  </si>
  <si>
    <t>20200420162934971</t>
  </si>
  <si>
    <t>mecánico de armado de cajas</t>
  </si>
  <si>
    <t>20200420145213549</t>
  </si>
  <si>
    <t>mecánico de cnc</t>
  </si>
  <si>
    <t>20200805164858573</t>
  </si>
  <si>
    <t>mecánico de convencional</t>
  </si>
  <si>
    <t>20200420145141188</t>
  </si>
  <si>
    <t>mecánico de corrugadora</t>
  </si>
  <si>
    <t>20200420145159295</t>
  </si>
  <si>
    <t>mecánico de guías</t>
  </si>
  <si>
    <t>20200421141443430</t>
  </si>
  <si>
    <t>mecánico de mantenimiento</t>
  </si>
  <si>
    <t>20200423041039071</t>
  </si>
  <si>
    <t>mecánico de robot</t>
  </si>
  <si>
    <t>20200421141512071</t>
  </si>
  <si>
    <t>mecánico del tren</t>
  </si>
  <si>
    <t>20200420162940664</t>
  </si>
  <si>
    <t>operador de atadoras</t>
  </si>
  <si>
    <t>20200814152835755</t>
  </si>
  <si>
    <t>operador de atadoras y etiquetado</t>
  </si>
  <si>
    <t>20200421141253954</t>
  </si>
  <si>
    <t>operador de etiquetado</t>
  </si>
  <si>
    <t>20200422141652578</t>
  </si>
  <si>
    <t>operador de planta de aguas</t>
  </si>
  <si>
    <t>20200729125934804</t>
  </si>
  <si>
    <t>operador de pupitre laminación</t>
  </si>
  <si>
    <t>20200421141321733</t>
  </si>
  <si>
    <t>operador de pupitre principal</t>
  </si>
  <si>
    <t>20200420163004869</t>
  </si>
  <si>
    <t>operador de t-04</t>
  </si>
  <si>
    <t>20200422142211690</t>
  </si>
  <si>
    <t>operario del proceso</t>
  </si>
  <si>
    <t>20200327003650436</t>
  </si>
  <si>
    <t>planeer de mantenimiento</t>
  </si>
  <si>
    <t>20200722223741450</t>
  </si>
  <si>
    <t>planner de mantenimiento</t>
  </si>
  <si>
    <t>20200327003657679</t>
  </si>
  <si>
    <t>programador de laminación</t>
  </si>
  <si>
    <t>20200327003703461</t>
  </si>
  <si>
    <t>recepcionista</t>
  </si>
  <si>
    <t>20200427145326627</t>
  </si>
  <si>
    <t>20200421235412025</t>
  </si>
  <si>
    <t>respondedor de varilla</t>
  </si>
  <si>
    <t>20200420145206646</t>
  </si>
  <si>
    <t>soldador de guiado</t>
  </si>
  <si>
    <t>20200427145209009</t>
  </si>
  <si>
    <t>soldador de laminación</t>
  </si>
  <si>
    <t>20200327003740575</t>
  </si>
  <si>
    <t>supervisor de bodega &amp; materiales</t>
  </si>
  <si>
    <t>20200327003747515</t>
  </si>
  <si>
    <t>supervisor de bodega - cda</t>
  </si>
  <si>
    <t>20200722221919895</t>
  </si>
  <si>
    <t>supervisor de compras &amp; materiales</t>
  </si>
  <si>
    <t>20200728224548806</t>
  </si>
  <si>
    <t>20200327003753844</t>
  </si>
  <si>
    <t>supervisor de compras - ofc</t>
  </si>
  <si>
    <t>20200327003758723</t>
  </si>
  <si>
    <t>supervisor de compras - pl</t>
  </si>
  <si>
    <t>20200327003803715</t>
  </si>
  <si>
    <t>supervisor de control de calidad</t>
  </si>
  <si>
    <t>20200327003811008</t>
  </si>
  <si>
    <t>supervisor de logística</t>
  </si>
  <si>
    <t>20200327003820704</t>
  </si>
  <si>
    <t>supervisor de planeación transporte mi &amp; me</t>
  </si>
  <si>
    <t>20200327003827250</t>
  </si>
  <si>
    <t>supervisor de producción</t>
  </si>
  <si>
    <t>20200327003712723</t>
  </si>
  <si>
    <t>supervisor de área de precisión</t>
  </si>
  <si>
    <t>20200327003724410</t>
  </si>
  <si>
    <t>supervisor de área eléctrica</t>
  </si>
  <si>
    <t>20200327003735606</t>
  </si>
  <si>
    <t>supervisor de área mecánica</t>
  </si>
  <si>
    <t>Código Capacitación</t>
  </si>
  <si>
    <t>Area</t>
  </si>
  <si>
    <t>Necesidad de Formación</t>
  </si>
  <si>
    <t>Propuesta de información o capacitación</t>
  </si>
  <si>
    <t>Objetivo</t>
  </si>
  <si>
    <t>Participante</t>
  </si>
  <si>
    <t>Consecutivo</t>
  </si>
  <si>
    <t>PRD</t>
  </si>
  <si>
    <t>Departamentos</t>
  </si>
  <si>
    <t>Areas</t>
  </si>
  <si>
    <t>Participantes</t>
  </si>
  <si>
    <t>Personal</t>
  </si>
  <si>
    <t>Participante si o no</t>
  </si>
  <si>
    <t>PRD-1</t>
  </si>
  <si>
    <t>Codigo de Colaborador</t>
  </si>
  <si>
    <t>Codigo Colaborador</t>
  </si>
  <si>
    <t>Estado</t>
  </si>
  <si>
    <t>RPA Buscando</t>
  </si>
  <si>
    <t>RPA Estado cambiar</t>
  </si>
  <si>
    <t>Hoy</t>
  </si>
  <si>
    <t>Fecha Req</t>
  </si>
  <si>
    <t>Guardado</t>
  </si>
  <si>
    <t>necesidad formacion</t>
  </si>
  <si>
    <t>propuesta de info</t>
  </si>
  <si>
    <t>objetivo4</t>
  </si>
  <si>
    <t xml:space="preserve">Fecha concluida </t>
  </si>
  <si>
    <t>Fecha concluida  + 150</t>
  </si>
  <si>
    <t>Fecha conclucion</t>
  </si>
  <si>
    <t>Notas</t>
  </si>
  <si>
    <t>nota</t>
  </si>
  <si>
    <t>Codigo_Capacitacion</t>
  </si>
  <si>
    <t>Concluido</t>
  </si>
  <si>
    <t>Nombre</t>
  </si>
  <si>
    <t>codigo diciplinario</t>
  </si>
  <si>
    <t>Eventos</t>
  </si>
  <si>
    <t>Informacion de eventos</t>
  </si>
  <si>
    <t>PRD_99021314_1</t>
  </si>
  <si>
    <t>info the event</t>
  </si>
  <si>
    <t>Evonto</t>
  </si>
  <si>
    <t>Revisando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</si>
</sst>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4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0" fillId="2" borderId="0" xfId="0" applyFill="1"/>
    <xf numFmtId="0" fontId="0" fillId="3" borderId="0" xfId="0" applyFill="1"/>
    <xf numFmtId="14" fontId="2" fillId="0" borderId="0" xfId="0" applyNumberFormat="1" applyFont="1"/>
    <xf numFmtId="0" fontId="3" fillId="4" borderId="0" xfId="1"/>
  </cellXfs>
  <cellStyles count="2">
    <cellStyle name="Énfasis6" xfId="1" builtinId="49"/>
    <cellStyle name="Normal" xfId="0" builtinId="0"/>
  </cellStyles>
  <dxfs count="1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164" formatCode="m/d/yyyy"/>
    </dxf>
    <dxf>
      <numFmt numFmtId="16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171450</xdr:rowOff>
        </xdr:from>
        <xdr:to>
          <xdr:col>3</xdr:col>
          <xdr:colOff>209550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osExternos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digo_puesto" tableColumnId="1"/>
      <queryTableField id="2" name="nombre" tableColumnId="2"/>
    </queryTableFields>
  </queryTableRefresh>
</queryTable>
</file>

<file path=xl/queryTables/queryTable2.xml><?xml version="1.0" encoding="utf-8"?>
<queryTable xmlns="http://schemas.openxmlformats.org/spreadsheetml/2006/main" name="DatosExternos_1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codigo_colaborador" tableColumnId="1"/>
      <queryTableField id="2" name="nombre" tableColumnId="2"/>
      <queryTableField id="3" name="correo" tableColumnId="3"/>
      <queryTableField id="4" name="nombre_departamento" tableColumnId="4"/>
      <queryTableField id="5" name="fecha_de_ingreso" tableColumnId="5"/>
      <queryTableField id="6" name="dias_disponibles" tableColumnId="6"/>
      <queryTableField id="7" name="fecha_de_nacimiento" tableColumnId="7"/>
      <queryTableField id="8" name="area" tableColumnId="8"/>
      <queryTableField id="9" name="Puesto Trabajo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Puestos_de_trabajo" displayName="Puestos_de_trabajo" ref="A1:B105" tableType="queryTable" totalsRowShown="0">
  <autoFilter ref="A1:B105"/>
  <tableColumns count="2">
    <tableColumn id="1" uniqueName="1" name="codigo_puesto" queryTableFieldId="1" dataDxfId="11"/>
    <tableColumn id="2" uniqueName="2" name="nombre" queryTableFieldId="2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Colaboradores_y_dias_de_vacas" displayName="Colaboradores_y_dias_de_vacas" ref="A1:I159" tableType="queryTable" totalsRowShown="0">
  <autoFilter ref="A1:I159"/>
  <sortState ref="A2:I159">
    <sortCondition ref="E1:E159"/>
  </sortState>
  <tableColumns count="9">
    <tableColumn id="1" uniqueName="1" name="codigo_colaborador" queryTableFieldId="1" dataDxfId="9"/>
    <tableColumn id="2" uniqueName="2" name="nombre" queryTableFieldId="2" dataDxfId="8"/>
    <tableColumn id="3" uniqueName="3" name="correo" queryTableFieldId="3" dataDxfId="7"/>
    <tableColumn id="4" uniqueName="4" name="nombre_departamento" queryTableFieldId="4" dataDxfId="6"/>
    <tableColumn id="5" uniqueName="5" name="fecha_de_ingreso" queryTableFieldId="5" dataDxfId="5"/>
    <tableColumn id="6" uniqueName="6" name="dias_disponibles" queryTableFieldId="6"/>
    <tableColumn id="7" uniqueName="7" name="fecha_de_nacimiento" queryTableFieldId="7" dataDxfId="4"/>
    <tableColumn id="8" uniqueName="8" name="area" queryTableFieldId="8" dataDxfId="3"/>
    <tableColumn id="9" uniqueName="9" name="Puesto Trabajo" queryTableFieldId="9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Capacitaciones" displayName="Capacitaciones" ref="A1:L5" totalsRowShown="0" headerRowDxfId="1">
  <autoFilter ref="A1:L5"/>
  <sortState ref="A2:I10">
    <sortCondition ref="A1:A10"/>
  </sortState>
  <tableColumns count="12">
    <tableColumn id="1" name="Código Capacitación"/>
    <tableColumn id="2" name="Departamento"/>
    <tableColumn id="3" name="Area"/>
    <tableColumn id="4" name="Necesidad de Formación"/>
    <tableColumn id="5" name="Propuesta de información o capacitación"/>
    <tableColumn id="6" name="Objetivo"/>
    <tableColumn id="7" name="Participante"/>
    <tableColumn id="8" name="Codigo Colaborador"/>
    <tableColumn id="9" name="Estado"/>
    <tableColumn id="10" name="Fecha Req" dataDxfId="0"/>
    <tableColumn id="11" name="Fecha conclucion"/>
    <tableColumn id="12" name="Not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1:G2" totalsRowShown="0">
  <autoFilter ref="A1:G2"/>
  <tableColumns count="7">
    <tableColumn id="1" name="Codigo Colaborador"/>
    <tableColumn id="2" name="Nombre"/>
    <tableColumn id="3" name="codigo diciplinario"/>
    <tableColumn id="4" name="Eventos"/>
    <tableColumn id="5" name="Informacion de eventos"/>
    <tableColumn id="6" name="Fecha Req"/>
    <tableColumn id="7" name="Estad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F9:J41"/>
  <sheetViews>
    <sheetView workbookViewId="0">
      <selection activeCell="K12" sqref="K12"/>
    </sheetView>
  </sheetViews>
  <sheetFormatPr baseColWidth="10" defaultColWidth="9.140625" defaultRowHeight="15" x14ac:dyDescent="0.25"/>
  <cols>
    <col min="7" max="7" width="9.7109375" bestFit="1" customWidth="1"/>
    <col min="10" max="10" width="9.7109375" bestFit="1" customWidth="1"/>
  </cols>
  <sheetData>
    <row r="9" spans="7:10" x14ac:dyDescent="0.25">
      <c r="G9" s="1"/>
    </row>
    <row r="11" spans="7:10" x14ac:dyDescent="0.25">
      <c r="J11" s="2"/>
    </row>
    <row r="41" spans="6:6" x14ac:dyDescent="0.25">
      <c r="F41" s="3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2_Haga_clic_en">
                <anchor moveWithCells="1" sizeWithCells="1">
                  <from>
                    <xdr:col>0</xdr:col>
                    <xdr:colOff>219075</xdr:colOff>
                    <xdr:row>0</xdr:row>
                    <xdr:rowOff>171450</xdr:rowOff>
                  </from>
                  <to>
                    <xdr:col>3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05"/>
  <sheetViews>
    <sheetView workbookViewId="0">
      <selection activeCell="B30" sqref="B30"/>
    </sheetView>
  </sheetViews>
  <sheetFormatPr baseColWidth="10" defaultRowHeight="15" x14ac:dyDescent="0.25"/>
  <cols>
    <col min="1" max="1" width="18.140625" bestFit="1" customWidth="1"/>
    <col min="2" max="2" width="41.42578125" bestFit="1" customWidth="1"/>
  </cols>
  <sheetData>
    <row r="1" spans="1:2" x14ac:dyDescent="0.25">
      <c r="A1" t="s">
        <v>611</v>
      </c>
      <c r="B1" t="s">
        <v>68</v>
      </c>
    </row>
    <row r="2" spans="1:2" x14ac:dyDescent="0.25">
      <c r="A2" s="2" t="s">
        <v>612</v>
      </c>
      <c r="B2" s="2" t="s">
        <v>613</v>
      </c>
    </row>
    <row r="3" spans="1:2" x14ac:dyDescent="0.25">
      <c r="A3" s="2" t="s">
        <v>614</v>
      </c>
      <c r="B3" s="2" t="s">
        <v>615</v>
      </c>
    </row>
    <row r="4" spans="1:2" x14ac:dyDescent="0.25">
      <c r="A4" s="2" t="s">
        <v>616</v>
      </c>
      <c r="B4" s="2" t="s">
        <v>617</v>
      </c>
    </row>
    <row r="5" spans="1:2" x14ac:dyDescent="0.25">
      <c r="A5" s="2" t="s">
        <v>618</v>
      </c>
      <c r="B5" s="2" t="s">
        <v>619</v>
      </c>
    </row>
    <row r="6" spans="1:2" x14ac:dyDescent="0.25">
      <c r="A6" s="2" t="s">
        <v>620</v>
      </c>
      <c r="B6" s="2" t="s">
        <v>621</v>
      </c>
    </row>
    <row r="7" spans="1:2" x14ac:dyDescent="0.25">
      <c r="A7" s="2" t="s">
        <v>622</v>
      </c>
      <c r="B7" s="2" t="s">
        <v>623</v>
      </c>
    </row>
    <row r="8" spans="1:2" x14ac:dyDescent="0.25">
      <c r="A8" s="2" t="s">
        <v>624</v>
      </c>
      <c r="B8" s="2" t="s">
        <v>625</v>
      </c>
    </row>
    <row r="9" spans="1:2" x14ac:dyDescent="0.25">
      <c r="A9" s="2" t="s">
        <v>626</v>
      </c>
      <c r="B9" s="2" t="s">
        <v>627</v>
      </c>
    </row>
    <row r="10" spans="1:2" x14ac:dyDescent="0.25">
      <c r="A10" s="2" t="s">
        <v>628</v>
      </c>
      <c r="B10" s="2" t="s">
        <v>629</v>
      </c>
    </row>
    <row r="11" spans="1:2" x14ac:dyDescent="0.25">
      <c r="A11" s="2" t="s">
        <v>630</v>
      </c>
      <c r="B11" s="2" t="s">
        <v>631</v>
      </c>
    </row>
    <row r="12" spans="1:2" x14ac:dyDescent="0.25">
      <c r="A12" s="2" t="s">
        <v>632</v>
      </c>
      <c r="B12" s="2" t="s">
        <v>633</v>
      </c>
    </row>
    <row r="13" spans="1:2" x14ac:dyDescent="0.25">
      <c r="A13" s="2" t="s">
        <v>634</v>
      </c>
      <c r="B13" s="2" t="s">
        <v>635</v>
      </c>
    </row>
    <row r="14" spans="1:2" x14ac:dyDescent="0.25">
      <c r="A14" s="2" t="s">
        <v>636</v>
      </c>
      <c r="B14" s="2" t="s">
        <v>637</v>
      </c>
    </row>
    <row r="15" spans="1:2" x14ac:dyDescent="0.25">
      <c r="A15" s="2" t="s">
        <v>638</v>
      </c>
      <c r="B15" s="2" t="s">
        <v>639</v>
      </c>
    </row>
    <row r="16" spans="1:2" x14ac:dyDescent="0.25">
      <c r="A16" s="2" t="s">
        <v>640</v>
      </c>
      <c r="B16" s="2" t="s">
        <v>641</v>
      </c>
    </row>
    <row r="17" spans="1:2" x14ac:dyDescent="0.25">
      <c r="A17" s="2" t="s">
        <v>642</v>
      </c>
      <c r="B17" s="2" t="s">
        <v>643</v>
      </c>
    </row>
    <row r="18" spans="1:2" x14ac:dyDescent="0.25">
      <c r="A18" s="2" t="s">
        <v>644</v>
      </c>
      <c r="B18" s="2" t="s">
        <v>645</v>
      </c>
    </row>
    <row r="19" spans="1:2" x14ac:dyDescent="0.25">
      <c r="A19" s="2" t="s">
        <v>646</v>
      </c>
      <c r="B19" s="2" t="s">
        <v>21</v>
      </c>
    </row>
    <row r="20" spans="1:2" x14ac:dyDescent="0.25">
      <c r="A20" s="2" t="s">
        <v>647</v>
      </c>
      <c r="B20" s="2" t="s">
        <v>648</v>
      </c>
    </row>
    <row r="21" spans="1:2" x14ac:dyDescent="0.25">
      <c r="A21" s="2" t="s">
        <v>649</v>
      </c>
      <c r="B21" s="2" t="s">
        <v>650</v>
      </c>
    </row>
    <row r="22" spans="1:2" x14ac:dyDescent="0.25">
      <c r="A22" s="2" t="s">
        <v>651</v>
      </c>
      <c r="B22" s="2" t="s">
        <v>652</v>
      </c>
    </row>
    <row r="23" spans="1:2" x14ac:dyDescent="0.25">
      <c r="A23" s="2" t="s">
        <v>653</v>
      </c>
      <c r="B23" s="2" t="s">
        <v>654</v>
      </c>
    </row>
    <row r="24" spans="1:2" x14ac:dyDescent="0.25">
      <c r="A24" s="2" t="s">
        <v>655</v>
      </c>
      <c r="B24" s="2" t="s">
        <v>656</v>
      </c>
    </row>
    <row r="25" spans="1:2" x14ac:dyDescent="0.25">
      <c r="A25" s="2" t="s">
        <v>657</v>
      </c>
      <c r="B25" s="2" t="s">
        <v>658</v>
      </c>
    </row>
    <row r="26" spans="1:2" x14ac:dyDescent="0.25">
      <c r="A26" s="2" t="s">
        <v>659</v>
      </c>
      <c r="B26" s="2" t="s">
        <v>660</v>
      </c>
    </row>
    <row r="27" spans="1:2" x14ac:dyDescent="0.25">
      <c r="A27" s="2" t="s">
        <v>661</v>
      </c>
      <c r="B27" s="2" t="s">
        <v>662</v>
      </c>
    </row>
    <row r="28" spans="1:2" x14ac:dyDescent="0.25">
      <c r="A28" s="2" t="s">
        <v>663</v>
      </c>
      <c r="B28" s="2" t="s">
        <v>664</v>
      </c>
    </row>
    <row r="29" spans="1:2" x14ac:dyDescent="0.25">
      <c r="A29" s="2" t="s">
        <v>665</v>
      </c>
      <c r="B29" s="2" t="s">
        <v>666</v>
      </c>
    </row>
    <row r="30" spans="1:2" x14ac:dyDescent="0.25">
      <c r="A30" s="2" t="s">
        <v>667</v>
      </c>
      <c r="B30" s="2" t="s">
        <v>668</v>
      </c>
    </row>
    <row r="31" spans="1:2" x14ac:dyDescent="0.25">
      <c r="A31" s="2" t="s">
        <v>669</v>
      </c>
      <c r="B31" s="2" t="s">
        <v>670</v>
      </c>
    </row>
    <row r="32" spans="1:2" x14ac:dyDescent="0.25">
      <c r="A32" s="2" t="s">
        <v>671</v>
      </c>
      <c r="B32" s="2" t="s">
        <v>672</v>
      </c>
    </row>
    <row r="33" spans="1:2" x14ac:dyDescent="0.25">
      <c r="A33" s="2" t="s">
        <v>673</v>
      </c>
      <c r="B33" s="2" t="s">
        <v>674</v>
      </c>
    </row>
    <row r="34" spans="1:2" x14ac:dyDescent="0.25">
      <c r="A34" s="2" t="s">
        <v>675</v>
      </c>
      <c r="B34" s="2" t="s">
        <v>676</v>
      </c>
    </row>
    <row r="35" spans="1:2" x14ac:dyDescent="0.25">
      <c r="A35" s="2" t="s">
        <v>677</v>
      </c>
      <c r="B35" s="2" t="s">
        <v>678</v>
      </c>
    </row>
    <row r="36" spans="1:2" x14ac:dyDescent="0.25">
      <c r="A36" s="2" t="s">
        <v>679</v>
      </c>
      <c r="B36" s="2" t="s">
        <v>680</v>
      </c>
    </row>
    <row r="37" spans="1:2" x14ac:dyDescent="0.25">
      <c r="A37" s="2" t="s">
        <v>681</v>
      </c>
      <c r="B37" s="2" t="s">
        <v>682</v>
      </c>
    </row>
    <row r="38" spans="1:2" x14ac:dyDescent="0.25">
      <c r="A38" s="2" t="s">
        <v>683</v>
      </c>
      <c r="B38" s="2" t="s">
        <v>684</v>
      </c>
    </row>
    <row r="39" spans="1:2" x14ac:dyDescent="0.25">
      <c r="A39" s="2" t="s">
        <v>685</v>
      </c>
      <c r="B39" s="2" t="s">
        <v>686</v>
      </c>
    </row>
    <row r="40" spans="1:2" x14ac:dyDescent="0.25">
      <c r="A40" s="2" t="s">
        <v>687</v>
      </c>
      <c r="B40" s="2" t="s">
        <v>688</v>
      </c>
    </row>
    <row r="41" spans="1:2" x14ac:dyDescent="0.25">
      <c r="A41" s="2" t="s">
        <v>689</v>
      </c>
      <c r="B41" s="2" t="s">
        <v>690</v>
      </c>
    </row>
    <row r="42" spans="1:2" x14ac:dyDescent="0.25">
      <c r="A42" s="2" t="s">
        <v>691</v>
      </c>
      <c r="B42" s="2" t="s">
        <v>692</v>
      </c>
    </row>
    <row r="43" spans="1:2" x14ac:dyDescent="0.25">
      <c r="A43" s="2" t="s">
        <v>693</v>
      </c>
      <c r="B43" s="2" t="s">
        <v>694</v>
      </c>
    </row>
    <row r="44" spans="1:2" x14ac:dyDescent="0.25">
      <c r="A44" s="2" t="s">
        <v>695</v>
      </c>
      <c r="B44" s="2" t="s">
        <v>696</v>
      </c>
    </row>
    <row r="45" spans="1:2" x14ac:dyDescent="0.25">
      <c r="A45" s="2" t="s">
        <v>697</v>
      </c>
      <c r="B45" s="2" t="s">
        <v>698</v>
      </c>
    </row>
    <row r="46" spans="1:2" x14ac:dyDescent="0.25">
      <c r="A46" s="2" t="s">
        <v>699</v>
      </c>
      <c r="B46" s="2" t="s">
        <v>700</v>
      </c>
    </row>
    <row r="47" spans="1:2" x14ac:dyDescent="0.25">
      <c r="A47" s="2" t="s">
        <v>701</v>
      </c>
      <c r="B47" s="2" t="s">
        <v>702</v>
      </c>
    </row>
    <row r="48" spans="1:2" x14ac:dyDescent="0.25">
      <c r="A48" s="2" t="s">
        <v>703</v>
      </c>
      <c r="B48" s="2" t="s">
        <v>704</v>
      </c>
    </row>
    <row r="49" spans="1:2" x14ac:dyDescent="0.25">
      <c r="A49" s="2" t="s">
        <v>705</v>
      </c>
      <c r="B49" s="2" t="s">
        <v>706</v>
      </c>
    </row>
    <row r="50" spans="1:2" x14ac:dyDescent="0.25">
      <c r="A50" s="2" t="s">
        <v>707</v>
      </c>
      <c r="B50" s="2" t="s">
        <v>16</v>
      </c>
    </row>
    <row r="51" spans="1:2" x14ac:dyDescent="0.25">
      <c r="A51" s="2" t="s">
        <v>708</v>
      </c>
      <c r="B51" s="2" t="s">
        <v>709</v>
      </c>
    </row>
    <row r="52" spans="1:2" x14ac:dyDescent="0.25">
      <c r="A52" s="2" t="s">
        <v>710</v>
      </c>
      <c r="B52" s="2" t="s">
        <v>711</v>
      </c>
    </row>
    <row r="53" spans="1:2" x14ac:dyDescent="0.25">
      <c r="A53" s="2" t="s">
        <v>712</v>
      </c>
      <c r="B53" s="2" t="s">
        <v>713</v>
      </c>
    </row>
    <row r="54" spans="1:2" x14ac:dyDescent="0.25">
      <c r="A54" s="2" t="s">
        <v>714</v>
      </c>
      <c r="B54" s="2" t="s">
        <v>715</v>
      </c>
    </row>
    <row r="55" spans="1:2" x14ac:dyDescent="0.25">
      <c r="A55" s="2" t="s">
        <v>716</v>
      </c>
      <c r="B55" s="2" t="s">
        <v>717</v>
      </c>
    </row>
    <row r="56" spans="1:2" x14ac:dyDescent="0.25">
      <c r="A56" s="2" t="s">
        <v>718</v>
      </c>
      <c r="B56" s="2" t="s">
        <v>719</v>
      </c>
    </row>
    <row r="57" spans="1:2" x14ac:dyDescent="0.25">
      <c r="A57" s="2" t="s">
        <v>720</v>
      </c>
      <c r="B57" s="2" t="s">
        <v>721</v>
      </c>
    </row>
    <row r="58" spans="1:2" x14ac:dyDescent="0.25">
      <c r="A58" s="2" t="s">
        <v>722</v>
      </c>
      <c r="B58" s="2" t="s">
        <v>723</v>
      </c>
    </row>
    <row r="59" spans="1:2" x14ac:dyDescent="0.25">
      <c r="A59" s="2" t="s">
        <v>724</v>
      </c>
      <c r="B59" s="2" t="s">
        <v>725</v>
      </c>
    </row>
    <row r="60" spans="1:2" x14ac:dyDescent="0.25">
      <c r="A60" s="2" t="s">
        <v>726</v>
      </c>
      <c r="B60" s="2" t="s">
        <v>727</v>
      </c>
    </row>
    <row r="61" spans="1:2" x14ac:dyDescent="0.25">
      <c r="A61" s="2" t="s">
        <v>728</v>
      </c>
      <c r="B61" s="2" t="s">
        <v>729</v>
      </c>
    </row>
    <row r="62" spans="1:2" x14ac:dyDescent="0.25">
      <c r="A62" s="2" t="s">
        <v>730</v>
      </c>
      <c r="B62" s="2" t="s">
        <v>731</v>
      </c>
    </row>
    <row r="63" spans="1:2" x14ac:dyDescent="0.25">
      <c r="A63" s="2" t="s">
        <v>732</v>
      </c>
      <c r="B63" s="2" t="s">
        <v>733</v>
      </c>
    </row>
    <row r="64" spans="1:2" x14ac:dyDescent="0.25">
      <c r="A64" s="2" t="s">
        <v>734</v>
      </c>
      <c r="B64" s="2" t="s">
        <v>735</v>
      </c>
    </row>
    <row r="65" spans="1:2" x14ac:dyDescent="0.25">
      <c r="A65" s="2" t="s">
        <v>736</v>
      </c>
      <c r="B65" s="2" t="s">
        <v>737</v>
      </c>
    </row>
    <row r="66" spans="1:2" x14ac:dyDescent="0.25">
      <c r="A66" s="2" t="s">
        <v>738</v>
      </c>
      <c r="B66" s="2" t="s">
        <v>739</v>
      </c>
    </row>
    <row r="67" spans="1:2" x14ac:dyDescent="0.25">
      <c r="A67" s="2" t="s">
        <v>740</v>
      </c>
      <c r="B67" s="2" t="s">
        <v>741</v>
      </c>
    </row>
    <row r="68" spans="1:2" x14ac:dyDescent="0.25">
      <c r="A68" s="2" t="s">
        <v>742</v>
      </c>
      <c r="B68" s="2" t="s">
        <v>47</v>
      </c>
    </row>
    <row r="69" spans="1:2" x14ac:dyDescent="0.25">
      <c r="A69" s="2" t="s">
        <v>743</v>
      </c>
      <c r="B69" s="2" t="s">
        <v>744</v>
      </c>
    </row>
    <row r="70" spans="1:2" x14ac:dyDescent="0.25">
      <c r="A70" s="2" t="s">
        <v>745</v>
      </c>
      <c r="B70" s="2" t="s">
        <v>746</v>
      </c>
    </row>
    <row r="71" spans="1:2" x14ac:dyDescent="0.25">
      <c r="A71" s="2" t="s">
        <v>747</v>
      </c>
      <c r="B71" s="2" t="s">
        <v>748</v>
      </c>
    </row>
    <row r="72" spans="1:2" x14ac:dyDescent="0.25">
      <c r="A72" s="2" t="s">
        <v>749</v>
      </c>
      <c r="B72" s="2" t="s">
        <v>750</v>
      </c>
    </row>
    <row r="73" spans="1:2" x14ac:dyDescent="0.25">
      <c r="A73" s="2" t="s">
        <v>751</v>
      </c>
      <c r="B73" s="2" t="s">
        <v>752</v>
      </c>
    </row>
    <row r="74" spans="1:2" x14ac:dyDescent="0.25">
      <c r="A74" s="2" t="s">
        <v>753</v>
      </c>
      <c r="B74" s="2" t="s">
        <v>754</v>
      </c>
    </row>
    <row r="75" spans="1:2" x14ac:dyDescent="0.25">
      <c r="A75" s="2" t="s">
        <v>755</v>
      </c>
      <c r="B75" s="2" t="s">
        <v>756</v>
      </c>
    </row>
    <row r="76" spans="1:2" x14ac:dyDescent="0.25">
      <c r="A76" s="2" t="s">
        <v>757</v>
      </c>
      <c r="B76" s="2" t="s">
        <v>758</v>
      </c>
    </row>
    <row r="77" spans="1:2" x14ac:dyDescent="0.25">
      <c r="A77" s="2" t="s">
        <v>759</v>
      </c>
      <c r="B77" s="2" t="s">
        <v>760</v>
      </c>
    </row>
    <row r="78" spans="1:2" x14ac:dyDescent="0.25">
      <c r="A78" s="2" t="s">
        <v>761</v>
      </c>
      <c r="B78" s="2" t="s">
        <v>762</v>
      </c>
    </row>
    <row r="79" spans="1:2" x14ac:dyDescent="0.25">
      <c r="A79" s="2" t="s">
        <v>763</v>
      </c>
      <c r="B79" s="2" t="s">
        <v>764</v>
      </c>
    </row>
    <row r="80" spans="1:2" x14ac:dyDescent="0.25">
      <c r="A80" s="2" t="s">
        <v>765</v>
      </c>
      <c r="B80" s="2" t="s">
        <v>766</v>
      </c>
    </row>
    <row r="81" spans="1:2" x14ac:dyDescent="0.25">
      <c r="A81" s="2" t="s">
        <v>767</v>
      </c>
      <c r="B81" s="2" t="s">
        <v>768</v>
      </c>
    </row>
    <row r="82" spans="1:2" x14ac:dyDescent="0.25">
      <c r="A82" s="2" t="s">
        <v>769</v>
      </c>
      <c r="B82" s="2" t="s">
        <v>770</v>
      </c>
    </row>
    <row r="83" spans="1:2" x14ac:dyDescent="0.25">
      <c r="A83" s="2" t="s">
        <v>771</v>
      </c>
      <c r="B83" s="2" t="s">
        <v>772</v>
      </c>
    </row>
    <row r="84" spans="1:2" x14ac:dyDescent="0.25">
      <c r="A84" s="2" t="s">
        <v>773</v>
      </c>
      <c r="B84" s="2" t="s">
        <v>774</v>
      </c>
    </row>
    <row r="85" spans="1:2" x14ac:dyDescent="0.25">
      <c r="A85" s="2" t="s">
        <v>775</v>
      </c>
      <c r="B85" s="2" t="s">
        <v>776</v>
      </c>
    </row>
    <row r="86" spans="1:2" x14ac:dyDescent="0.25">
      <c r="A86" s="2" t="s">
        <v>777</v>
      </c>
      <c r="B86" s="2" t="s">
        <v>778</v>
      </c>
    </row>
    <row r="87" spans="1:2" x14ac:dyDescent="0.25">
      <c r="A87" s="2" t="s">
        <v>779</v>
      </c>
      <c r="B87" s="2" t="s">
        <v>780</v>
      </c>
    </row>
    <row r="88" spans="1:2" x14ac:dyDescent="0.25">
      <c r="A88" s="2" t="s">
        <v>781</v>
      </c>
      <c r="B88" s="2" t="s">
        <v>782</v>
      </c>
    </row>
    <row r="89" spans="1:2" x14ac:dyDescent="0.25">
      <c r="A89" s="2" t="s">
        <v>783</v>
      </c>
      <c r="B89" s="2" t="s">
        <v>5</v>
      </c>
    </row>
    <row r="90" spans="1:2" x14ac:dyDescent="0.25">
      <c r="A90" s="2" t="s">
        <v>784</v>
      </c>
      <c r="B90" s="2" t="s">
        <v>785</v>
      </c>
    </row>
    <row r="91" spans="1:2" x14ac:dyDescent="0.25">
      <c r="A91" s="2" t="s">
        <v>786</v>
      </c>
      <c r="B91" s="2" t="s">
        <v>787</v>
      </c>
    </row>
    <row r="92" spans="1:2" x14ac:dyDescent="0.25">
      <c r="A92" s="2" t="s">
        <v>788</v>
      </c>
      <c r="B92" s="2" t="s">
        <v>789</v>
      </c>
    </row>
    <row r="93" spans="1:2" x14ac:dyDescent="0.25">
      <c r="A93" s="2" t="s">
        <v>790</v>
      </c>
      <c r="B93" s="2" t="s">
        <v>791</v>
      </c>
    </row>
    <row r="94" spans="1:2" x14ac:dyDescent="0.25">
      <c r="A94" s="2" t="s">
        <v>792</v>
      </c>
      <c r="B94" s="2" t="s">
        <v>793</v>
      </c>
    </row>
    <row r="95" spans="1:2" x14ac:dyDescent="0.25">
      <c r="A95" s="2" t="s">
        <v>794</v>
      </c>
      <c r="B95" s="2" t="s">
        <v>795</v>
      </c>
    </row>
    <row r="96" spans="1:2" x14ac:dyDescent="0.25">
      <c r="A96" s="2" t="s">
        <v>796</v>
      </c>
      <c r="B96" s="2" t="s">
        <v>795</v>
      </c>
    </row>
    <row r="97" spans="1:2" x14ac:dyDescent="0.25">
      <c r="A97" s="2" t="s">
        <v>797</v>
      </c>
      <c r="B97" s="2" t="s">
        <v>798</v>
      </c>
    </row>
    <row r="98" spans="1:2" x14ac:dyDescent="0.25">
      <c r="A98" s="2" t="s">
        <v>799</v>
      </c>
      <c r="B98" s="2" t="s">
        <v>800</v>
      </c>
    </row>
    <row r="99" spans="1:2" x14ac:dyDescent="0.25">
      <c r="A99" s="2" t="s">
        <v>801</v>
      </c>
      <c r="B99" s="2" t="s">
        <v>802</v>
      </c>
    </row>
    <row r="100" spans="1:2" x14ac:dyDescent="0.25">
      <c r="A100" s="2" t="s">
        <v>803</v>
      </c>
      <c r="B100" s="2" t="s">
        <v>804</v>
      </c>
    </row>
    <row r="101" spans="1:2" x14ac:dyDescent="0.25">
      <c r="A101" s="2" t="s">
        <v>805</v>
      </c>
      <c r="B101" s="2" t="s">
        <v>806</v>
      </c>
    </row>
    <row r="102" spans="1:2" x14ac:dyDescent="0.25">
      <c r="A102" s="2" t="s">
        <v>807</v>
      </c>
      <c r="B102" s="2" t="s">
        <v>808</v>
      </c>
    </row>
    <row r="103" spans="1:2" x14ac:dyDescent="0.25">
      <c r="A103" s="2" t="s">
        <v>809</v>
      </c>
      <c r="B103" s="2" t="s">
        <v>810</v>
      </c>
    </row>
    <row r="104" spans="1:2" x14ac:dyDescent="0.25">
      <c r="A104" s="2" t="s">
        <v>811</v>
      </c>
      <c r="B104" s="2" t="s">
        <v>812</v>
      </c>
    </row>
    <row r="105" spans="1:2" x14ac:dyDescent="0.25">
      <c r="A105" s="2" t="s">
        <v>813</v>
      </c>
      <c r="B105" s="2" t="s">
        <v>814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59"/>
  <sheetViews>
    <sheetView workbookViewId="0">
      <selection activeCell="B2" sqref="B2:B50000"/>
    </sheetView>
  </sheetViews>
  <sheetFormatPr baseColWidth="10" defaultRowHeight="15" x14ac:dyDescent="0.25"/>
  <cols>
    <col min="1" max="1" width="20.85546875" bestFit="1" customWidth="1"/>
    <col min="2" max="2" width="34" bestFit="1" customWidth="1"/>
    <col min="3" max="3" width="38.7109375" bestFit="1" customWidth="1"/>
    <col min="4" max="4" width="35" bestFit="1" customWidth="1"/>
    <col min="5" max="5" width="19.140625" bestFit="1" customWidth="1"/>
    <col min="6" max="6" width="18.140625" bestFit="1" customWidth="1"/>
    <col min="7" max="7" width="22.5703125" bestFit="1" customWidth="1"/>
    <col min="8" max="8" width="30" bestFit="1" customWidth="1"/>
    <col min="9" max="9" width="42.140625" bestFit="1" customWidth="1"/>
  </cols>
  <sheetData>
    <row r="1" spans="1:9" x14ac:dyDescent="0.25">
      <c r="A1" t="s">
        <v>69</v>
      </c>
      <c r="B1" t="s">
        <v>68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</row>
    <row r="2" spans="1:9" x14ac:dyDescent="0.25">
      <c r="A2" s="2" t="s">
        <v>468</v>
      </c>
      <c r="B2" s="2" t="s">
        <v>469</v>
      </c>
      <c r="C2" s="2" t="s">
        <v>470</v>
      </c>
      <c r="D2" s="2" t="s">
        <v>95</v>
      </c>
      <c r="E2" s="1">
        <v>33119</v>
      </c>
      <c r="F2">
        <v>10</v>
      </c>
      <c r="G2" s="1">
        <v>26520</v>
      </c>
      <c r="H2" s="2" t="s">
        <v>96</v>
      </c>
      <c r="I2" s="2" t="s">
        <v>471</v>
      </c>
    </row>
    <row r="3" spans="1:9" x14ac:dyDescent="0.25">
      <c r="A3" s="2" t="s">
        <v>478</v>
      </c>
      <c r="B3" s="2" t="s">
        <v>479</v>
      </c>
      <c r="C3" s="2" t="s">
        <v>65</v>
      </c>
      <c r="D3" s="2" t="s">
        <v>105</v>
      </c>
      <c r="E3" s="1">
        <v>34514</v>
      </c>
      <c r="F3">
        <v>3</v>
      </c>
      <c r="G3" s="1">
        <v>27230</v>
      </c>
      <c r="H3" s="2" t="s">
        <v>17</v>
      </c>
      <c r="I3" s="2" t="s">
        <v>361</v>
      </c>
    </row>
    <row r="4" spans="1:9" x14ac:dyDescent="0.25">
      <c r="A4" s="2" t="s">
        <v>520</v>
      </c>
      <c r="B4" s="2" t="s">
        <v>521</v>
      </c>
      <c r="C4" s="2" t="s">
        <v>57</v>
      </c>
      <c r="D4" s="2" t="s">
        <v>242</v>
      </c>
      <c r="E4" s="1">
        <v>36487</v>
      </c>
      <c r="F4">
        <v>3</v>
      </c>
      <c r="G4" s="1">
        <v>27495</v>
      </c>
      <c r="H4" s="2" t="s">
        <v>96</v>
      </c>
      <c r="I4" s="2" t="s">
        <v>522</v>
      </c>
    </row>
    <row r="5" spans="1:9" x14ac:dyDescent="0.25">
      <c r="A5" s="2" t="s">
        <v>275</v>
      </c>
      <c r="B5" s="2" t="s">
        <v>276</v>
      </c>
      <c r="C5" s="2" t="s">
        <v>277</v>
      </c>
      <c r="D5" s="2" t="s">
        <v>170</v>
      </c>
      <c r="E5" s="1">
        <v>36503</v>
      </c>
      <c r="F5">
        <v>45</v>
      </c>
      <c r="G5" s="1">
        <v>27309</v>
      </c>
      <c r="H5" s="2" t="s">
        <v>96</v>
      </c>
      <c r="I5" s="2" t="s">
        <v>278</v>
      </c>
    </row>
    <row r="6" spans="1:9" x14ac:dyDescent="0.25">
      <c r="A6" s="2" t="s">
        <v>279</v>
      </c>
      <c r="B6" s="2" t="s">
        <v>280</v>
      </c>
      <c r="C6" s="2" t="s">
        <v>281</v>
      </c>
      <c r="D6" s="2" t="s">
        <v>282</v>
      </c>
      <c r="E6" s="1">
        <v>36586</v>
      </c>
      <c r="F6">
        <v>4</v>
      </c>
      <c r="G6" s="1">
        <v>22342</v>
      </c>
      <c r="H6" s="2" t="s">
        <v>96</v>
      </c>
      <c r="I6" s="2" t="s">
        <v>283</v>
      </c>
    </row>
    <row r="7" spans="1:9" x14ac:dyDescent="0.25">
      <c r="A7" s="2" t="s">
        <v>152</v>
      </c>
      <c r="B7" s="2" t="s">
        <v>153</v>
      </c>
      <c r="C7" s="2" t="s">
        <v>154</v>
      </c>
      <c r="D7" s="2" t="s">
        <v>155</v>
      </c>
      <c r="E7" s="1">
        <v>37266</v>
      </c>
      <c r="F7">
        <v>2</v>
      </c>
      <c r="G7" s="1">
        <v>26432</v>
      </c>
      <c r="H7" s="2" t="s">
        <v>151</v>
      </c>
      <c r="I7" s="2" t="s">
        <v>406</v>
      </c>
    </row>
    <row r="8" spans="1:9" x14ac:dyDescent="0.25">
      <c r="A8" s="2" t="s">
        <v>537</v>
      </c>
      <c r="B8" s="2" t="s">
        <v>538</v>
      </c>
      <c r="C8" s="2" t="s">
        <v>54</v>
      </c>
      <c r="D8" s="2" t="s">
        <v>226</v>
      </c>
      <c r="E8" s="1">
        <v>37387</v>
      </c>
      <c r="F8">
        <v>9</v>
      </c>
      <c r="G8" s="1">
        <v>23193</v>
      </c>
      <c r="H8" s="2" t="s">
        <v>96</v>
      </c>
      <c r="I8" s="2" t="s">
        <v>539</v>
      </c>
    </row>
    <row r="9" spans="1:9" x14ac:dyDescent="0.25">
      <c r="A9" s="2" t="s">
        <v>434</v>
      </c>
      <c r="B9" s="2" t="s">
        <v>435</v>
      </c>
      <c r="C9" s="2" t="s">
        <v>436</v>
      </c>
      <c r="D9" s="2" t="s">
        <v>437</v>
      </c>
      <c r="E9" s="1">
        <v>37400</v>
      </c>
      <c r="F9">
        <v>15</v>
      </c>
      <c r="G9" s="1">
        <v>24713</v>
      </c>
      <c r="H9" s="2" t="s">
        <v>96</v>
      </c>
      <c r="I9" s="2" t="s">
        <v>438</v>
      </c>
    </row>
    <row r="10" spans="1:9" x14ac:dyDescent="0.25">
      <c r="A10" s="2" t="s">
        <v>563</v>
      </c>
      <c r="B10" s="2" t="s">
        <v>564</v>
      </c>
      <c r="C10" s="2" t="s">
        <v>565</v>
      </c>
      <c r="D10" s="2" t="s">
        <v>170</v>
      </c>
      <c r="E10" s="1">
        <v>37431</v>
      </c>
      <c r="F10">
        <v>12</v>
      </c>
      <c r="G10" s="1">
        <v>29416</v>
      </c>
      <c r="H10" s="2" t="s">
        <v>96</v>
      </c>
      <c r="I10" s="2" t="s">
        <v>171</v>
      </c>
    </row>
    <row r="11" spans="1:9" x14ac:dyDescent="0.25">
      <c r="A11" s="2" t="s">
        <v>600</v>
      </c>
      <c r="B11" s="2" t="s">
        <v>601</v>
      </c>
      <c r="C11" s="2" t="s">
        <v>602</v>
      </c>
      <c r="D11" s="2" t="s">
        <v>87</v>
      </c>
      <c r="E11" s="1">
        <v>37453</v>
      </c>
      <c r="F11">
        <v>9</v>
      </c>
      <c r="G11" s="1">
        <v>26352</v>
      </c>
      <c r="H11" s="2" t="s">
        <v>603</v>
      </c>
      <c r="I11" s="2" t="s">
        <v>9</v>
      </c>
    </row>
    <row r="12" spans="1:9" x14ac:dyDescent="0.25">
      <c r="A12" s="2">
        <v>99021388</v>
      </c>
      <c r="B12" s="2" t="s">
        <v>428</v>
      </c>
      <c r="C12" s="2" t="s">
        <v>49</v>
      </c>
      <c r="D12" s="2" t="s">
        <v>87</v>
      </c>
      <c r="E12" s="1">
        <v>37475</v>
      </c>
      <c r="F12">
        <v>4</v>
      </c>
      <c r="G12" s="1">
        <v>28689</v>
      </c>
      <c r="H12" s="2" t="s">
        <v>96</v>
      </c>
      <c r="I12" s="2" t="s">
        <v>429</v>
      </c>
    </row>
    <row r="13" spans="1:9" x14ac:dyDescent="0.25">
      <c r="A13" s="2" t="s">
        <v>475</v>
      </c>
      <c r="B13" s="2" t="s">
        <v>476</v>
      </c>
      <c r="C13" s="2" t="s">
        <v>477</v>
      </c>
      <c r="D13" s="2" t="s">
        <v>105</v>
      </c>
      <c r="E13" s="1">
        <v>37488</v>
      </c>
      <c r="F13">
        <v>3</v>
      </c>
      <c r="G13" s="1">
        <v>25274</v>
      </c>
      <c r="H13" s="2" t="s">
        <v>17</v>
      </c>
      <c r="I13" s="2" t="s">
        <v>361</v>
      </c>
    </row>
    <row r="14" spans="1:9" x14ac:dyDescent="0.25">
      <c r="A14" s="2">
        <v>99021419</v>
      </c>
      <c r="B14" s="2" t="s">
        <v>553</v>
      </c>
      <c r="C14" s="2" t="s">
        <v>63</v>
      </c>
      <c r="D14" s="2" t="s">
        <v>87</v>
      </c>
      <c r="E14" s="1">
        <v>37498</v>
      </c>
      <c r="F14">
        <v>2</v>
      </c>
      <c r="G14" s="1">
        <v>29328</v>
      </c>
      <c r="H14" s="2" t="s">
        <v>88</v>
      </c>
      <c r="I14" s="2" t="s">
        <v>330</v>
      </c>
    </row>
    <row r="15" spans="1:9" x14ac:dyDescent="0.25">
      <c r="A15" s="2" t="s">
        <v>526</v>
      </c>
      <c r="B15" s="2" t="s">
        <v>527</v>
      </c>
      <c r="C15" s="2" t="s">
        <v>528</v>
      </c>
      <c r="D15" s="2" t="s">
        <v>95</v>
      </c>
      <c r="E15" s="1">
        <v>37580</v>
      </c>
      <c r="F15">
        <v>12</v>
      </c>
      <c r="G15" s="1">
        <v>28042</v>
      </c>
      <c r="H15" s="2" t="s">
        <v>96</v>
      </c>
      <c r="I15" s="2" t="s">
        <v>109</v>
      </c>
    </row>
    <row r="16" spans="1:9" x14ac:dyDescent="0.25">
      <c r="A16" s="2" t="s">
        <v>454</v>
      </c>
      <c r="B16" s="2" t="s">
        <v>455</v>
      </c>
      <c r="C16" s="2" t="s">
        <v>1</v>
      </c>
      <c r="D16" s="2" t="s">
        <v>221</v>
      </c>
      <c r="E16" s="1">
        <v>37652</v>
      </c>
      <c r="F16">
        <v>2</v>
      </c>
      <c r="G16" s="1">
        <v>30980</v>
      </c>
      <c r="H16" s="2" t="s">
        <v>2</v>
      </c>
      <c r="I16" s="2" t="s">
        <v>14</v>
      </c>
    </row>
    <row r="17" spans="1:9" x14ac:dyDescent="0.25">
      <c r="A17" s="2" t="s">
        <v>523</v>
      </c>
      <c r="B17" s="2" t="s">
        <v>524</v>
      </c>
      <c r="C17" s="2" t="s">
        <v>19</v>
      </c>
      <c r="D17" s="2" t="s">
        <v>105</v>
      </c>
      <c r="E17" s="1">
        <v>37677</v>
      </c>
      <c r="F17">
        <v>3</v>
      </c>
      <c r="G17" s="1">
        <v>26315</v>
      </c>
      <c r="H17" s="2" t="s">
        <v>96</v>
      </c>
      <c r="I17" s="2" t="s">
        <v>525</v>
      </c>
    </row>
    <row r="18" spans="1:9" x14ac:dyDescent="0.25">
      <c r="A18" s="2" t="s">
        <v>472</v>
      </c>
      <c r="B18" s="2" t="s">
        <v>473</v>
      </c>
      <c r="C18" s="2" t="s">
        <v>474</v>
      </c>
      <c r="D18" s="2" t="s">
        <v>231</v>
      </c>
      <c r="E18" s="1">
        <v>37696</v>
      </c>
      <c r="F18">
        <v>2</v>
      </c>
      <c r="G18" s="1">
        <v>27980</v>
      </c>
      <c r="H18" s="2" t="s">
        <v>232</v>
      </c>
      <c r="I18" s="2" t="s">
        <v>323</v>
      </c>
    </row>
    <row r="19" spans="1:9" x14ac:dyDescent="0.25">
      <c r="A19" s="2" t="s">
        <v>358</v>
      </c>
      <c r="B19" s="2" t="s">
        <v>359</v>
      </c>
      <c r="C19" s="2" t="s">
        <v>360</v>
      </c>
      <c r="D19" s="2" t="s">
        <v>105</v>
      </c>
      <c r="E19" s="1">
        <v>37698</v>
      </c>
      <c r="F19">
        <v>2</v>
      </c>
      <c r="G19" s="1">
        <v>26431</v>
      </c>
      <c r="H19" s="2" t="s">
        <v>17</v>
      </c>
      <c r="I19" s="2" t="s">
        <v>361</v>
      </c>
    </row>
    <row r="20" spans="1:9" x14ac:dyDescent="0.25">
      <c r="A20" s="2" t="s">
        <v>585</v>
      </c>
      <c r="B20" s="2" t="s">
        <v>586</v>
      </c>
      <c r="C20" s="2" t="s">
        <v>587</v>
      </c>
      <c r="D20" s="2" t="s">
        <v>491</v>
      </c>
      <c r="E20" s="1">
        <v>37707</v>
      </c>
      <c r="F20">
        <v>14</v>
      </c>
      <c r="G20" s="1">
        <v>30617</v>
      </c>
      <c r="H20" s="2" t="s">
        <v>96</v>
      </c>
      <c r="I20" s="2" t="s">
        <v>492</v>
      </c>
    </row>
    <row r="21" spans="1:9" x14ac:dyDescent="0.25">
      <c r="A21" s="2" t="s">
        <v>84</v>
      </c>
      <c r="B21" s="2" t="s">
        <v>85</v>
      </c>
      <c r="C21" s="2" t="s">
        <v>86</v>
      </c>
      <c r="D21" s="2" t="s">
        <v>87</v>
      </c>
      <c r="E21" s="1">
        <v>37712</v>
      </c>
      <c r="F21">
        <v>4</v>
      </c>
      <c r="G21" s="1">
        <v>28547</v>
      </c>
      <c r="H21" s="2" t="s">
        <v>88</v>
      </c>
      <c r="I21" s="2" t="s">
        <v>89</v>
      </c>
    </row>
    <row r="22" spans="1:9" x14ac:dyDescent="0.25">
      <c r="A22" s="2" t="s">
        <v>464</v>
      </c>
      <c r="B22" s="2" t="s">
        <v>465</v>
      </c>
      <c r="C22" s="2" t="s">
        <v>466</v>
      </c>
      <c r="D22" s="2" t="s">
        <v>242</v>
      </c>
      <c r="E22" s="1">
        <v>37747</v>
      </c>
      <c r="F22">
        <v>7</v>
      </c>
      <c r="G22" s="1">
        <v>28444</v>
      </c>
      <c r="H22" s="2" t="s">
        <v>96</v>
      </c>
      <c r="I22" s="2" t="s">
        <v>467</v>
      </c>
    </row>
    <row r="23" spans="1:9" x14ac:dyDescent="0.25">
      <c r="A23" s="2" t="s">
        <v>304</v>
      </c>
      <c r="B23" s="2" t="s">
        <v>305</v>
      </c>
      <c r="C23" s="2" t="s">
        <v>306</v>
      </c>
      <c r="D23" s="2" t="s">
        <v>150</v>
      </c>
      <c r="E23" s="1">
        <v>37893</v>
      </c>
      <c r="F23">
        <v>3</v>
      </c>
      <c r="G23" s="1">
        <v>28203</v>
      </c>
      <c r="H23" s="2" t="s">
        <v>2</v>
      </c>
      <c r="I23" s="2" t="s">
        <v>307</v>
      </c>
    </row>
    <row r="24" spans="1:9" x14ac:dyDescent="0.25">
      <c r="A24" s="2" t="s">
        <v>540</v>
      </c>
      <c r="B24" s="2" t="s">
        <v>541</v>
      </c>
      <c r="C24" s="2" t="s">
        <v>12</v>
      </c>
      <c r="D24" s="2" t="s">
        <v>247</v>
      </c>
      <c r="E24" s="1">
        <v>37928</v>
      </c>
      <c r="F24">
        <v>3</v>
      </c>
      <c r="G24" s="1">
        <v>29809</v>
      </c>
      <c r="H24" s="2" t="s">
        <v>248</v>
      </c>
      <c r="I24" s="2" t="s">
        <v>249</v>
      </c>
    </row>
    <row r="25" spans="1:9" x14ac:dyDescent="0.25">
      <c r="A25" s="2" t="s">
        <v>416</v>
      </c>
      <c r="B25" s="2" t="s">
        <v>417</v>
      </c>
      <c r="C25" s="2" t="s">
        <v>418</v>
      </c>
      <c r="D25" s="2" t="s">
        <v>282</v>
      </c>
      <c r="E25" s="1">
        <v>37956</v>
      </c>
      <c r="F25">
        <v>14</v>
      </c>
      <c r="G25" s="1">
        <v>30139</v>
      </c>
      <c r="H25" s="2" t="s">
        <v>96</v>
      </c>
      <c r="I25" s="2" t="s">
        <v>419</v>
      </c>
    </row>
    <row r="26" spans="1:9" x14ac:dyDescent="0.25">
      <c r="A26" s="2" t="s">
        <v>500</v>
      </c>
      <c r="B26" s="2" t="s">
        <v>501</v>
      </c>
      <c r="C26" s="2" t="s">
        <v>502</v>
      </c>
      <c r="D26" s="2" t="s">
        <v>132</v>
      </c>
      <c r="E26" s="1">
        <v>38090</v>
      </c>
      <c r="F26">
        <v>6</v>
      </c>
      <c r="G26" s="1">
        <v>30787</v>
      </c>
      <c r="H26" s="2" t="s">
        <v>96</v>
      </c>
      <c r="I26" s="2" t="s">
        <v>503</v>
      </c>
    </row>
    <row r="27" spans="1:9" x14ac:dyDescent="0.25">
      <c r="A27" s="2" t="s">
        <v>263</v>
      </c>
      <c r="B27" s="2" t="s">
        <v>264</v>
      </c>
      <c r="C27" s="2" t="s">
        <v>265</v>
      </c>
      <c r="D27" s="2" t="s">
        <v>95</v>
      </c>
      <c r="E27" s="1">
        <v>38176</v>
      </c>
      <c r="F27">
        <v>8</v>
      </c>
      <c r="G27" s="1">
        <v>22988</v>
      </c>
      <c r="H27" s="2" t="s">
        <v>96</v>
      </c>
      <c r="I27" s="2" t="s">
        <v>266</v>
      </c>
    </row>
    <row r="28" spans="1:9" x14ac:dyDescent="0.25">
      <c r="A28" s="2" t="s">
        <v>207</v>
      </c>
      <c r="B28" s="2" t="s">
        <v>208</v>
      </c>
      <c r="C28" s="2" t="s">
        <v>39</v>
      </c>
      <c r="D28" s="2" t="s">
        <v>209</v>
      </c>
      <c r="E28" s="1">
        <v>38246</v>
      </c>
      <c r="F28">
        <v>2</v>
      </c>
      <c r="G28" s="1">
        <v>26153</v>
      </c>
      <c r="H28" s="2" t="s">
        <v>37</v>
      </c>
      <c r="I28" s="2" t="s">
        <v>210</v>
      </c>
    </row>
    <row r="29" spans="1:9" x14ac:dyDescent="0.25">
      <c r="A29" s="2" t="s">
        <v>327</v>
      </c>
      <c r="B29" s="2" t="s">
        <v>328</v>
      </c>
      <c r="C29" s="2" t="s">
        <v>329</v>
      </c>
      <c r="D29" s="2" t="s">
        <v>87</v>
      </c>
      <c r="E29" s="1">
        <v>38379</v>
      </c>
      <c r="F29">
        <v>1</v>
      </c>
      <c r="G29" s="1">
        <v>26734</v>
      </c>
      <c r="H29" s="2" t="s">
        <v>88</v>
      </c>
      <c r="I29" s="2" t="s">
        <v>330</v>
      </c>
    </row>
    <row r="30" spans="1:9" x14ac:dyDescent="0.25">
      <c r="A30" s="2" t="s">
        <v>239</v>
      </c>
      <c r="B30" s="2" t="s">
        <v>240</v>
      </c>
      <c r="C30" s="2" t="s">
        <v>241</v>
      </c>
      <c r="D30" s="2" t="s">
        <v>242</v>
      </c>
      <c r="E30" s="1">
        <v>38383</v>
      </c>
      <c r="F30">
        <v>13</v>
      </c>
      <c r="G30" s="1">
        <v>31102</v>
      </c>
      <c r="H30" s="2" t="s">
        <v>96</v>
      </c>
      <c r="I30" s="2" t="s">
        <v>243</v>
      </c>
    </row>
    <row r="31" spans="1:9" x14ac:dyDescent="0.25">
      <c r="A31" s="2" t="s">
        <v>267</v>
      </c>
      <c r="B31" s="2" t="s">
        <v>268</v>
      </c>
      <c r="C31" s="2" t="s">
        <v>269</v>
      </c>
      <c r="D31" s="2" t="s">
        <v>150</v>
      </c>
      <c r="E31" s="1">
        <v>38406</v>
      </c>
      <c r="F31">
        <v>3</v>
      </c>
      <c r="G31" s="1">
        <v>27367</v>
      </c>
      <c r="H31" s="2" t="s">
        <v>151</v>
      </c>
      <c r="I31" s="2" t="s">
        <v>270</v>
      </c>
    </row>
    <row r="32" spans="1:9" x14ac:dyDescent="0.25">
      <c r="A32" s="2" t="s">
        <v>259</v>
      </c>
      <c r="B32" s="2" t="s">
        <v>260</v>
      </c>
      <c r="C32" s="2" t="s">
        <v>31</v>
      </c>
      <c r="D32" s="2" t="s">
        <v>261</v>
      </c>
      <c r="E32" s="1">
        <v>38512</v>
      </c>
      <c r="F32">
        <v>4</v>
      </c>
      <c r="G32" s="1">
        <v>30777</v>
      </c>
      <c r="H32" s="2" t="s">
        <v>96</v>
      </c>
      <c r="I32" s="2" t="s">
        <v>262</v>
      </c>
    </row>
    <row r="33" spans="1:9" x14ac:dyDescent="0.25">
      <c r="A33" s="2" t="s">
        <v>234</v>
      </c>
      <c r="B33" s="2" t="s">
        <v>235</v>
      </c>
      <c r="C33" s="2" t="s">
        <v>236</v>
      </c>
      <c r="D33" s="2" t="s">
        <v>231</v>
      </c>
      <c r="E33" s="1">
        <v>38532</v>
      </c>
      <c r="F33">
        <v>3</v>
      </c>
      <c r="G33" s="1">
        <v>30873</v>
      </c>
      <c r="H33" s="2" t="s">
        <v>232</v>
      </c>
      <c r="I33" s="2" t="s">
        <v>233</v>
      </c>
    </row>
    <row r="34" spans="1:9" x14ac:dyDescent="0.25">
      <c r="A34" s="2" t="s">
        <v>590</v>
      </c>
      <c r="B34" s="2" t="s">
        <v>591</v>
      </c>
      <c r="C34" s="2" t="s">
        <v>592</v>
      </c>
      <c r="D34" s="2" t="s">
        <v>491</v>
      </c>
      <c r="E34" s="1">
        <v>38547</v>
      </c>
      <c r="F34">
        <v>15</v>
      </c>
      <c r="G34" s="1">
        <v>30798</v>
      </c>
      <c r="H34" s="2" t="s">
        <v>96</v>
      </c>
      <c r="I34" s="2" t="s">
        <v>492</v>
      </c>
    </row>
    <row r="35" spans="1:9" x14ac:dyDescent="0.25">
      <c r="A35" s="2" t="s">
        <v>271</v>
      </c>
      <c r="B35" s="2" t="s">
        <v>272</v>
      </c>
      <c r="C35" s="2" t="s">
        <v>273</v>
      </c>
      <c r="D35" s="2" t="s">
        <v>150</v>
      </c>
      <c r="E35" s="1">
        <v>38558</v>
      </c>
      <c r="F35">
        <v>2</v>
      </c>
      <c r="G35" s="1">
        <v>29665</v>
      </c>
      <c r="H35" s="2" t="s">
        <v>151</v>
      </c>
      <c r="I35" s="2" t="s">
        <v>274</v>
      </c>
    </row>
    <row r="36" spans="1:9" x14ac:dyDescent="0.25">
      <c r="A36" s="2" t="s">
        <v>160</v>
      </c>
      <c r="B36" s="2" t="s">
        <v>161</v>
      </c>
      <c r="C36" s="2" t="s">
        <v>162</v>
      </c>
      <c r="D36" s="2" t="s">
        <v>105</v>
      </c>
      <c r="E36" s="1">
        <v>38748</v>
      </c>
      <c r="F36">
        <v>1</v>
      </c>
      <c r="G36" s="1">
        <v>30561</v>
      </c>
      <c r="H36" s="2" t="s">
        <v>603</v>
      </c>
      <c r="I36" s="2" t="s">
        <v>163</v>
      </c>
    </row>
    <row r="37" spans="1:9" x14ac:dyDescent="0.25">
      <c r="A37" s="2" t="s">
        <v>379</v>
      </c>
      <c r="B37" s="2" t="s">
        <v>380</v>
      </c>
      <c r="C37" s="2" t="s">
        <v>13</v>
      </c>
      <c r="D37" s="2" t="s">
        <v>155</v>
      </c>
      <c r="E37" s="1">
        <v>38867</v>
      </c>
      <c r="F37">
        <v>2</v>
      </c>
      <c r="G37" s="1">
        <v>30777</v>
      </c>
      <c r="H37" s="2" t="s">
        <v>2</v>
      </c>
      <c r="I37" s="2" t="s">
        <v>14</v>
      </c>
    </row>
    <row r="38" spans="1:9" x14ac:dyDescent="0.25">
      <c r="A38" s="2" t="s">
        <v>387</v>
      </c>
      <c r="B38" s="2" t="s">
        <v>388</v>
      </c>
      <c r="C38" s="2" t="s">
        <v>389</v>
      </c>
      <c r="D38" s="2" t="s">
        <v>143</v>
      </c>
      <c r="E38" s="1">
        <v>38874</v>
      </c>
      <c r="F38">
        <v>3</v>
      </c>
      <c r="G38" s="1">
        <v>30427</v>
      </c>
      <c r="H38" s="2" t="s">
        <v>96</v>
      </c>
      <c r="I38" s="2" t="s">
        <v>390</v>
      </c>
    </row>
    <row r="39" spans="1:9" x14ac:dyDescent="0.25">
      <c r="A39" s="2" t="s">
        <v>430</v>
      </c>
      <c r="B39" s="2" t="s">
        <v>431</v>
      </c>
      <c r="C39" s="2" t="s">
        <v>432</v>
      </c>
      <c r="D39" s="2" t="s">
        <v>282</v>
      </c>
      <c r="E39" s="1">
        <v>38882</v>
      </c>
      <c r="F39">
        <v>5</v>
      </c>
      <c r="G39" s="1">
        <v>28072</v>
      </c>
      <c r="H39" s="2" t="s">
        <v>96</v>
      </c>
      <c r="I39" s="2" t="s">
        <v>433</v>
      </c>
    </row>
    <row r="40" spans="1:9" x14ac:dyDescent="0.25">
      <c r="A40" s="2" t="s">
        <v>148</v>
      </c>
      <c r="B40" s="2" t="s">
        <v>149</v>
      </c>
      <c r="C40" s="2" t="s">
        <v>52</v>
      </c>
      <c r="D40" s="2" t="s">
        <v>150</v>
      </c>
      <c r="E40" s="1">
        <v>38944</v>
      </c>
      <c r="F40">
        <v>5</v>
      </c>
      <c r="G40" s="1">
        <v>28930</v>
      </c>
      <c r="H40" s="2" t="s">
        <v>151</v>
      </c>
      <c r="I40" s="2" t="s">
        <v>406</v>
      </c>
    </row>
    <row r="41" spans="1:9" x14ac:dyDescent="0.25">
      <c r="A41" s="2" t="s">
        <v>90</v>
      </c>
      <c r="B41" s="2" t="s">
        <v>91</v>
      </c>
      <c r="C41" s="2" t="s">
        <v>34</v>
      </c>
      <c r="D41" s="2" t="s">
        <v>87</v>
      </c>
      <c r="E41" s="1">
        <v>38971</v>
      </c>
      <c r="F41">
        <v>4</v>
      </c>
      <c r="G41" s="1">
        <v>30847</v>
      </c>
      <c r="H41" s="2" t="s">
        <v>88</v>
      </c>
      <c r="I41" s="2" t="s">
        <v>89</v>
      </c>
    </row>
    <row r="42" spans="1:9" x14ac:dyDescent="0.25">
      <c r="A42" s="2" t="s">
        <v>318</v>
      </c>
      <c r="B42" s="2" t="s">
        <v>319</v>
      </c>
      <c r="C42" s="2" t="s">
        <v>23</v>
      </c>
      <c r="D42" s="2" t="s">
        <v>132</v>
      </c>
      <c r="E42" s="1">
        <v>39008</v>
      </c>
      <c r="F42">
        <v>2</v>
      </c>
      <c r="G42" s="1">
        <v>30595</v>
      </c>
      <c r="H42" s="2" t="s">
        <v>133</v>
      </c>
      <c r="I42" s="2" t="s">
        <v>315</v>
      </c>
    </row>
    <row r="43" spans="1:9" x14ac:dyDescent="0.25">
      <c r="A43" s="2" t="s">
        <v>534</v>
      </c>
      <c r="B43" s="2" t="s">
        <v>535</v>
      </c>
      <c r="C43" s="2" t="s">
        <v>46</v>
      </c>
      <c r="D43" s="2" t="s">
        <v>437</v>
      </c>
      <c r="E43" s="1">
        <v>39051</v>
      </c>
      <c r="F43">
        <v>9</v>
      </c>
      <c r="G43" s="1">
        <v>32289</v>
      </c>
      <c r="H43" s="2" t="s">
        <v>96</v>
      </c>
      <c r="I43" s="2" t="s">
        <v>536</v>
      </c>
    </row>
    <row r="44" spans="1:9" x14ac:dyDescent="0.25">
      <c r="A44" s="2" t="s">
        <v>381</v>
      </c>
      <c r="B44" s="2" t="s">
        <v>382</v>
      </c>
      <c r="C44" s="2" t="s">
        <v>383</v>
      </c>
      <c r="D44" s="2" t="s">
        <v>150</v>
      </c>
      <c r="E44" s="1">
        <v>39330</v>
      </c>
      <c r="F44">
        <v>1</v>
      </c>
      <c r="G44" s="1">
        <v>31667</v>
      </c>
      <c r="H44" s="2" t="s">
        <v>2</v>
      </c>
      <c r="I44" s="2" t="s">
        <v>14</v>
      </c>
    </row>
    <row r="45" spans="1:9" x14ac:dyDescent="0.25">
      <c r="A45" s="2" t="s">
        <v>316</v>
      </c>
      <c r="B45" s="2" t="s">
        <v>317</v>
      </c>
      <c r="C45" s="2" t="s">
        <v>29</v>
      </c>
      <c r="D45" s="2" t="s">
        <v>132</v>
      </c>
      <c r="E45" s="1">
        <v>39426</v>
      </c>
      <c r="F45">
        <v>2</v>
      </c>
      <c r="G45" s="1">
        <v>32241</v>
      </c>
      <c r="H45" s="2" t="s">
        <v>133</v>
      </c>
      <c r="I45" s="2" t="s">
        <v>315</v>
      </c>
    </row>
    <row r="46" spans="1:9" x14ac:dyDescent="0.25">
      <c r="A46" s="2" t="s">
        <v>400</v>
      </c>
      <c r="B46" s="2" t="s">
        <v>401</v>
      </c>
      <c r="C46" s="2" t="s">
        <v>402</v>
      </c>
      <c r="D46" s="2" t="s">
        <v>180</v>
      </c>
      <c r="E46" s="1">
        <v>39508</v>
      </c>
      <c r="F46">
        <v>4</v>
      </c>
      <c r="G46" s="1">
        <v>30527</v>
      </c>
      <c r="H46" s="2" t="s">
        <v>96</v>
      </c>
      <c r="I46" s="2" t="s">
        <v>403</v>
      </c>
    </row>
    <row r="47" spans="1:9" x14ac:dyDescent="0.25">
      <c r="A47" s="2" t="s">
        <v>177</v>
      </c>
      <c r="B47" s="2" t="s">
        <v>178</v>
      </c>
      <c r="C47" s="2" t="s">
        <v>179</v>
      </c>
      <c r="D47" s="2" t="s">
        <v>180</v>
      </c>
      <c r="E47" s="1">
        <v>39508</v>
      </c>
      <c r="F47">
        <v>4</v>
      </c>
      <c r="G47" s="1">
        <v>30597</v>
      </c>
      <c r="H47" s="2" t="s">
        <v>96</v>
      </c>
      <c r="I47" s="2" t="s">
        <v>176</v>
      </c>
    </row>
    <row r="48" spans="1:9" x14ac:dyDescent="0.25">
      <c r="A48" s="2" t="s">
        <v>488</v>
      </c>
      <c r="B48" s="2" t="s">
        <v>489</v>
      </c>
      <c r="C48" s="2" t="s">
        <v>490</v>
      </c>
      <c r="D48" s="2" t="s">
        <v>491</v>
      </c>
      <c r="E48" s="1">
        <v>39570</v>
      </c>
      <c r="F48">
        <v>14</v>
      </c>
      <c r="G48" s="1">
        <v>32398</v>
      </c>
      <c r="H48" s="2" t="s">
        <v>96</v>
      </c>
      <c r="I48" s="2" t="s">
        <v>492</v>
      </c>
    </row>
    <row r="49" spans="1:9" x14ac:dyDescent="0.25">
      <c r="A49" s="2" t="s">
        <v>480</v>
      </c>
      <c r="B49" s="2" t="s">
        <v>481</v>
      </c>
      <c r="C49" s="2" t="s">
        <v>482</v>
      </c>
      <c r="D49" s="2" t="s">
        <v>291</v>
      </c>
      <c r="E49" s="1">
        <v>39634</v>
      </c>
      <c r="F49">
        <v>2</v>
      </c>
      <c r="G49" s="1">
        <v>31764</v>
      </c>
      <c r="H49" s="2" t="s">
        <v>96</v>
      </c>
      <c r="I49" s="2" t="s">
        <v>483</v>
      </c>
    </row>
    <row r="50" spans="1:9" x14ac:dyDescent="0.25">
      <c r="A50" s="2" t="s">
        <v>228</v>
      </c>
      <c r="B50" s="2" t="s">
        <v>229</v>
      </c>
      <c r="C50" s="2" t="s">
        <v>230</v>
      </c>
      <c r="D50" s="2" t="s">
        <v>231</v>
      </c>
      <c r="E50" s="1">
        <v>39658</v>
      </c>
      <c r="F50">
        <v>3</v>
      </c>
      <c r="G50" s="1">
        <v>27180</v>
      </c>
      <c r="H50" s="2" t="s">
        <v>232</v>
      </c>
      <c r="I50" s="2" t="s">
        <v>233</v>
      </c>
    </row>
    <row r="51" spans="1:9" x14ac:dyDescent="0.25">
      <c r="A51" s="2" t="s">
        <v>300</v>
      </c>
      <c r="B51" s="2" t="s">
        <v>301</v>
      </c>
      <c r="C51" s="2" t="s">
        <v>302</v>
      </c>
      <c r="D51" s="2" t="s">
        <v>226</v>
      </c>
      <c r="E51" s="1">
        <v>39692</v>
      </c>
      <c r="F51">
        <v>2</v>
      </c>
      <c r="G51" s="1">
        <v>29519</v>
      </c>
      <c r="H51" s="2" t="s">
        <v>96</v>
      </c>
      <c r="I51" s="2" t="s">
        <v>303</v>
      </c>
    </row>
    <row r="52" spans="1:9" x14ac:dyDescent="0.25">
      <c r="A52" s="2" t="s">
        <v>582</v>
      </c>
      <c r="B52" s="2" t="s">
        <v>583</v>
      </c>
      <c r="C52" s="2" t="s">
        <v>584</v>
      </c>
      <c r="D52" s="2" t="s">
        <v>87</v>
      </c>
      <c r="E52" s="1">
        <v>39695</v>
      </c>
      <c r="F52">
        <v>2</v>
      </c>
      <c r="G52" s="1">
        <v>27594</v>
      </c>
      <c r="H52" s="2" t="s">
        <v>88</v>
      </c>
      <c r="I52" s="2" t="s">
        <v>429</v>
      </c>
    </row>
    <row r="53" spans="1:9" x14ac:dyDescent="0.25">
      <c r="A53" s="2" t="s">
        <v>82</v>
      </c>
      <c r="B53" s="2" t="s">
        <v>83</v>
      </c>
      <c r="C53" s="2" t="s">
        <v>30</v>
      </c>
      <c r="D53" s="2" t="s">
        <v>79</v>
      </c>
      <c r="E53" s="1">
        <v>40137</v>
      </c>
      <c r="F53">
        <v>5</v>
      </c>
      <c r="G53" s="1">
        <v>32752</v>
      </c>
      <c r="H53" s="2" t="s">
        <v>80</v>
      </c>
      <c r="I53" s="2" t="s">
        <v>81</v>
      </c>
    </row>
    <row r="54" spans="1:9" x14ac:dyDescent="0.25">
      <c r="A54" s="2" t="s">
        <v>289</v>
      </c>
      <c r="B54" s="2" t="s">
        <v>42</v>
      </c>
      <c r="C54" s="2" t="s">
        <v>290</v>
      </c>
      <c r="D54" s="2" t="s">
        <v>291</v>
      </c>
      <c r="E54" s="1">
        <v>40141</v>
      </c>
      <c r="F54">
        <v>5</v>
      </c>
      <c r="G54" s="1">
        <v>33199</v>
      </c>
      <c r="H54" s="2" t="s">
        <v>96</v>
      </c>
      <c r="I54" s="2" t="s">
        <v>292</v>
      </c>
    </row>
    <row r="55" spans="1:9" x14ac:dyDescent="0.25">
      <c r="A55" s="2" t="s">
        <v>410</v>
      </c>
      <c r="B55" s="2" t="s">
        <v>411</v>
      </c>
      <c r="C55" s="2" t="s">
        <v>15</v>
      </c>
      <c r="D55" s="2" t="s">
        <v>105</v>
      </c>
      <c r="E55" s="1">
        <v>40238</v>
      </c>
      <c r="F55">
        <v>1</v>
      </c>
      <c r="G55" s="1">
        <v>32109</v>
      </c>
      <c r="H55" s="2" t="s">
        <v>17</v>
      </c>
      <c r="I55" s="2" t="s">
        <v>59</v>
      </c>
    </row>
    <row r="56" spans="1:9" x14ac:dyDescent="0.25">
      <c r="A56" s="2" t="s">
        <v>593</v>
      </c>
      <c r="B56" s="2" t="s">
        <v>594</v>
      </c>
      <c r="C56" s="2" t="s">
        <v>595</v>
      </c>
      <c r="D56" s="2" t="s">
        <v>132</v>
      </c>
      <c r="E56" s="1">
        <v>40266</v>
      </c>
      <c r="F56">
        <v>3</v>
      </c>
      <c r="G56" s="1">
        <v>30729</v>
      </c>
      <c r="H56" s="2" t="s">
        <v>133</v>
      </c>
      <c r="I56" s="2" t="s">
        <v>315</v>
      </c>
    </row>
    <row r="57" spans="1:9" x14ac:dyDescent="0.25">
      <c r="A57" s="2" t="s">
        <v>508</v>
      </c>
      <c r="B57" s="2" t="s">
        <v>509</v>
      </c>
      <c r="C57" s="2" t="s">
        <v>510</v>
      </c>
      <c r="D57" s="2" t="s">
        <v>282</v>
      </c>
      <c r="E57" s="1">
        <v>40427</v>
      </c>
      <c r="F57">
        <v>3</v>
      </c>
      <c r="G57" s="1">
        <v>29022</v>
      </c>
      <c r="H57" s="2" t="s">
        <v>96</v>
      </c>
      <c r="I57" s="2" t="s">
        <v>511</v>
      </c>
    </row>
    <row r="58" spans="1:9" x14ac:dyDescent="0.25">
      <c r="A58" s="2" t="s">
        <v>216</v>
      </c>
      <c r="B58" s="2" t="s">
        <v>217</v>
      </c>
      <c r="C58" s="2" t="s">
        <v>36</v>
      </c>
      <c r="D58" s="2" t="s">
        <v>209</v>
      </c>
      <c r="E58" s="1">
        <v>40756</v>
      </c>
      <c r="F58">
        <v>4</v>
      </c>
      <c r="G58" s="1">
        <v>33935</v>
      </c>
      <c r="H58" s="2" t="s">
        <v>37</v>
      </c>
      <c r="I58" s="2" t="s">
        <v>215</v>
      </c>
    </row>
    <row r="59" spans="1:9" x14ac:dyDescent="0.25">
      <c r="A59" s="2" t="s">
        <v>579</v>
      </c>
      <c r="B59" s="2" t="s">
        <v>580</v>
      </c>
      <c r="C59" s="2" t="s">
        <v>581</v>
      </c>
      <c r="D59" s="2" t="s">
        <v>143</v>
      </c>
      <c r="E59" s="1">
        <v>40777</v>
      </c>
      <c r="F59">
        <v>5</v>
      </c>
      <c r="G59" s="1">
        <v>32404</v>
      </c>
      <c r="H59" s="2" t="s">
        <v>96</v>
      </c>
      <c r="I59" s="2" t="s">
        <v>336</v>
      </c>
    </row>
    <row r="60" spans="1:9" x14ac:dyDescent="0.25">
      <c r="A60" s="2" t="s">
        <v>213</v>
      </c>
      <c r="B60" s="2" t="s">
        <v>214</v>
      </c>
      <c r="C60" s="2" t="s">
        <v>38</v>
      </c>
      <c r="D60" s="2" t="s">
        <v>209</v>
      </c>
      <c r="E60" s="1">
        <v>40830</v>
      </c>
      <c r="F60">
        <v>2</v>
      </c>
      <c r="G60" s="1">
        <v>28167</v>
      </c>
      <c r="H60" s="2" t="s">
        <v>37</v>
      </c>
      <c r="I60" s="2" t="s">
        <v>215</v>
      </c>
    </row>
    <row r="61" spans="1:9" x14ac:dyDescent="0.25">
      <c r="A61" s="2" t="s">
        <v>250</v>
      </c>
      <c r="B61" s="2" t="s">
        <v>251</v>
      </c>
      <c r="C61" s="2" t="s">
        <v>252</v>
      </c>
      <c r="D61" s="2" t="s">
        <v>247</v>
      </c>
      <c r="E61" s="1">
        <v>40842</v>
      </c>
      <c r="F61">
        <v>4</v>
      </c>
      <c r="G61" s="1">
        <v>26138</v>
      </c>
      <c r="H61" s="2" t="s">
        <v>248</v>
      </c>
      <c r="I61" s="2" t="s">
        <v>249</v>
      </c>
    </row>
    <row r="62" spans="1:9" x14ac:dyDescent="0.25">
      <c r="A62" s="2" t="s">
        <v>356</v>
      </c>
      <c r="B62" s="2" t="s">
        <v>357</v>
      </c>
      <c r="C62" s="2" t="s">
        <v>62</v>
      </c>
      <c r="D62" s="2" t="s">
        <v>247</v>
      </c>
      <c r="E62" s="1">
        <v>40842</v>
      </c>
      <c r="F62">
        <v>3</v>
      </c>
      <c r="G62" s="1">
        <v>28085</v>
      </c>
      <c r="H62" s="2" t="s">
        <v>248</v>
      </c>
      <c r="I62" s="2" t="s">
        <v>355</v>
      </c>
    </row>
    <row r="63" spans="1:9" x14ac:dyDescent="0.25">
      <c r="A63" s="2" t="s">
        <v>504</v>
      </c>
      <c r="B63" s="2" t="s">
        <v>505</v>
      </c>
      <c r="C63" s="2" t="s">
        <v>506</v>
      </c>
      <c r="D63" s="2" t="s">
        <v>170</v>
      </c>
      <c r="E63" s="1">
        <v>40909</v>
      </c>
      <c r="F63">
        <v>6</v>
      </c>
      <c r="G63" s="1">
        <v>32762</v>
      </c>
      <c r="H63" s="2" t="s">
        <v>96</v>
      </c>
      <c r="I63" s="2" t="s">
        <v>507</v>
      </c>
    </row>
    <row r="64" spans="1:9" x14ac:dyDescent="0.25">
      <c r="A64" s="2" t="s">
        <v>284</v>
      </c>
      <c r="B64" s="2" t="s">
        <v>285</v>
      </c>
      <c r="C64" s="2" t="s">
        <v>286</v>
      </c>
      <c r="D64" s="2" t="s">
        <v>287</v>
      </c>
      <c r="E64" s="1">
        <v>41169</v>
      </c>
      <c r="F64">
        <v>7</v>
      </c>
      <c r="G64" s="1">
        <v>32038</v>
      </c>
      <c r="H64" s="2" t="s">
        <v>96</v>
      </c>
      <c r="I64" s="2" t="s">
        <v>288</v>
      </c>
    </row>
    <row r="65" spans="1:9" x14ac:dyDescent="0.25">
      <c r="A65" s="2" t="s">
        <v>144</v>
      </c>
      <c r="B65" s="2" t="s">
        <v>145</v>
      </c>
      <c r="C65" s="2" t="s">
        <v>146</v>
      </c>
      <c r="D65" s="2" t="s">
        <v>125</v>
      </c>
      <c r="E65" s="1">
        <v>41555</v>
      </c>
      <c r="F65">
        <v>4</v>
      </c>
      <c r="G65" s="1">
        <v>32462</v>
      </c>
      <c r="H65" s="2" t="s">
        <v>96</v>
      </c>
      <c r="I65" s="2" t="s">
        <v>147</v>
      </c>
    </row>
    <row r="66" spans="1:9" x14ac:dyDescent="0.25">
      <c r="A66" s="2" t="s">
        <v>420</v>
      </c>
      <c r="B66" s="2" t="s">
        <v>421</v>
      </c>
      <c r="C66" s="2" t="s">
        <v>422</v>
      </c>
      <c r="D66" s="2" t="s">
        <v>282</v>
      </c>
      <c r="E66" s="1">
        <v>41852</v>
      </c>
      <c r="F66">
        <v>2</v>
      </c>
      <c r="G66" s="1">
        <v>28736</v>
      </c>
      <c r="H66" s="2" t="s">
        <v>96</v>
      </c>
      <c r="I66" s="2" t="s">
        <v>423</v>
      </c>
    </row>
    <row r="67" spans="1:9" x14ac:dyDescent="0.25">
      <c r="A67" s="2" t="s">
        <v>341</v>
      </c>
      <c r="B67" s="2" t="s">
        <v>342</v>
      </c>
      <c r="C67" s="2" t="s">
        <v>343</v>
      </c>
      <c r="D67" s="2" t="s">
        <v>143</v>
      </c>
      <c r="E67" s="1">
        <v>41852</v>
      </c>
      <c r="F67">
        <v>4</v>
      </c>
      <c r="G67" s="1">
        <v>33346</v>
      </c>
      <c r="H67" s="2" t="s">
        <v>96</v>
      </c>
      <c r="I67" s="2" t="s">
        <v>336</v>
      </c>
    </row>
    <row r="68" spans="1:9" x14ac:dyDescent="0.25">
      <c r="A68" s="2" t="s">
        <v>350</v>
      </c>
      <c r="B68" s="2" t="s">
        <v>351</v>
      </c>
      <c r="C68" s="2" t="s">
        <v>352</v>
      </c>
      <c r="D68" s="2" t="s">
        <v>138</v>
      </c>
      <c r="E68" s="1">
        <v>41869</v>
      </c>
      <c r="F68">
        <v>4</v>
      </c>
      <c r="G68" s="1">
        <v>31621</v>
      </c>
      <c r="H68" s="2" t="s">
        <v>96</v>
      </c>
      <c r="I68" s="2" t="s">
        <v>336</v>
      </c>
    </row>
    <row r="69" spans="1:9" x14ac:dyDescent="0.25">
      <c r="A69" s="2" t="s">
        <v>545</v>
      </c>
      <c r="B69" s="2" t="s">
        <v>546</v>
      </c>
      <c r="C69" s="2" t="s">
        <v>547</v>
      </c>
      <c r="D69" s="2" t="s">
        <v>548</v>
      </c>
      <c r="E69" s="1">
        <v>42064</v>
      </c>
      <c r="F69">
        <v>20</v>
      </c>
      <c r="G69" s="1">
        <v>24512</v>
      </c>
      <c r="H69" s="2" t="s">
        <v>96</v>
      </c>
      <c r="I69" s="2" t="s">
        <v>549</v>
      </c>
    </row>
    <row r="70" spans="1:9" x14ac:dyDescent="0.25">
      <c r="A70" s="2" t="s">
        <v>127</v>
      </c>
      <c r="B70" s="2" t="s">
        <v>128</v>
      </c>
      <c r="C70" s="2" t="s">
        <v>129</v>
      </c>
      <c r="D70" s="2" t="s">
        <v>125</v>
      </c>
      <c r="E70" s="1">
        <v>42065</v>
      </c>
      <c r="F70">
        <v>6</v>
      </c>
      <c r="G70" s="1">
        <v>30659</v>
      </c>
      <c r="H70" s="2" t="s">
        <v>96</v>
      </c>
      <c r="I70" s="2" t="s">
        <v>126</v>
      </c>
    </row>
    <row r="71" spans="1:9" x14ac:dyDescent="0.25">
      <c r="A71" s="2" t="s">
        <v>439</v>
      </c>
      <c r="B71" s="2" t="s">
        <v>440</v>
      </c>
      <c r="C71" s="2" t="s">
        <v>441</v>
      </c>
      <c r="D71" s="2" t="s">
        <v>170</v>
      </c>
      <c r="E71" s="1">
        <v>42149</v>
      </c>
      <c r="F71">
        <v>6</v>
      </c>
      <c r="G71" s="1">
        <v>25936</v>
      </c>
      <c r="H71" s="2" t="s">
        <v>96</v>
      </c>
      <c r="I71" s="2" t="s">
        <v>442</v>
      </c>
    </row>
    <row r="72" spans="1:9" x14ac:dyDescent="0.25">
      <c r="A72" s="2" t="s">
        <v>333</v>
      </c>
      <c r="B72" s="2" t="s">
        <v>334</v>
      </c>
      <c r="C72" s="2" t="s">
        <v>335</v>
      </c>
      <c r="D72" s="2" t="s">
        <v>143</v>
      </c>
      <c r="E72" s="1">
        <v>42201</v>
      </c>
      <c r="F72">
        <v>3</v>
      </c>
      <c r="G72" s="1">
        <v>32637</v>
      </c>
      <c r="H72" s="2" t="s">
        <v>96</v>
      </c>
      <c r="I72" s="2" t="s">
        <v>336</v>
      </c>
    </row>
    <row r="73" spans="1:9" x14ac:dyDescent="0.25">
      <c r="A73" s="2" t="s">
        <v>167</v>
      </c>
      <c r="B73" s="2" t="s">
        <v>168</v>
      </c>
      <c r="C73" s="2" t="s">
        <v>169</v>
      </c>
      <c r="D73" s="2" t="s">
        <v>170</v>
      </c>
      <c r="E73" s="1">
        <v>42240</v>
      </c>
      <c r="F73">
        <v>10</v>
      </c>
      <c r="G73" s="1">
        <v>32246</v>
      </c>
      <c r="H73" s="2" t="s">
        <v>96</v>
      </c>
      <c r="I73" s="2" t="s">
        <v>171</v>
      </c>
    </row>
    <row r="74" spans="1:9" x14ac:dyDescent="0.25">
      <c r="A74" s="2" t="s">
        <v>443</v>
      </c>
      <c r="B74" s="2" t="s">
        <v>444</v>
      </c>
      <c r="C74" s="2" t="s">
        <v>445</v>
      </c>
      <c r="D74" s="2" t="s">
        <v>446</v>
      </c>
      <c r="E74" s="1">
        <v>42339</v>
      </c>
      <c r="F74">
        <v>15</v>
      </c>
      <c r="G74" s="1">
        <v>33597</v>
      </c>
      <c r="H74" s="2" t="s">
        <v>96</v>
      </c>
      <c r="I74" s="2" t="s">
        <v>447</v>
      </c>
    </row>
    <row r="75" spans="1:9" x14ac:dyDescent="0.25">
      <c r="A75" s="2" t="s">
        <v>296</v>
      </c>
      <c r="B75" s="2" t="s">
        <v>297</v>
      </c>
      <c r="C75" s="2" t="s">
        <v>298</v>
      </c>
      <c r="D75" s="2" t="s">
        <v>170</v>
      </c>
      <c r="E75" s="1">
        <v>42373</v>
      </c>
      <c r="F75">
        <v>11</v>
      </c>
      <c r="G75" s="1">
        <v>29026</v>
      </c>
      <c r="H75" s="2" t="s">
        <v>96</v>
      </c>
      <c r="I75" s="2" t="s">
        <v>299</v>
      </c>
    </row>
    <row r="76" spans="1:9" x14ac:dyDescent="0.25">
      <c r="A76" s="2" t="s">
        <v>244</v>
      </c>
      <c r="B76" s="2" t="s">
        <v>245</v>
      </c>
      <c r="C76" s="2" t="s">
        <v>246</v>
      </c>
      <c r="D76" s="2" t="s">
        <v>247</v>
      </c>
      <c r="E76" s="1">
        <v>42541</v>
      </c>
      <c r="F76">
        <v>2</v>
      </c>
      <c r="G76" s="1">
        <v>33428</v>
      </c>
      <c r="H76" s="2" t="s">
        <v>248</v>
      </c>
      <c r="I76" s="2" t="s">
        <v>249</v>
      </c>
    </row>
    <row r="77" spans="1:9" x14ac:dyDescent="0.25">
      <c r="A77" s="2" t="s">
        <v>110</v>
      </c>
      <c r="B77" s="2" t="s">
        <v>111</v>
      </c>
      <c r="C77" s="2" t="s">
        <v>112</v>
      </c>
      <c r="D77" s="2" t="s">
        <v>95</v>
      </c>
      <c r="E77" s="1">
        <v>42555</v>
      </c>
      <c r="F77">
        <v>6</v>
      </c>
      <c r="G77" s="1">
        <v>33341</v>
      </c>
      <c r="H77" s="2" t="s">
        <v>96</v>
      </c>
      <c r="I77" s="2" t="s">
        <v>113</v>
      </c>
    </row>
    <row r="78" spans="1:9" x14ac:dyDescent="0.25">
      <c r="A78" s="2" t="s">
        <v>542</v>
      </c>
      <c r="B78" s="2" t="s">
        <v>543</v>
      </c>
      <c r="C78" s="2" t="s">
        <v>544</v>
      </c>
      <c r="D78" s="2" t="s">
        <v>155</v>
      </c>
      <c r="E78" s="1">
        <v>42577</v>
      </c>
      <c r="F78">
        <v>-1</v>
      </c>
      <c r="G78" s="1">
        <v>32418</v>
      </c>
      <c r="H78" s="2" t="s">
        <v>8</v>
      </c>
      <c r="I78" s="2" t="s">
        <v>166</v>
      </c>
    </row>
    <row r="79" spans="1:9" x14ac:dyDescent="0.25">
      <c r="A79" s="2" t="s">
        <v>572</v>
      </c>
      <c r="B79" s="2" t="s">
        <v>573</v>
      </c>
      <c r="C79" s="2" t="s">
        <v>24</v>
      </c>
      <c r="D79" s="2" t="s">
        <v>132</v>
      </c>
      <c r="E79" s="1">
        <v>42604</v>
      </c>
      <c r="F79">
        <v>3</v>
      </c>
      <c r="G79" s="1">
        <v>32683</v>
      </c>
      <c r="H79" s="2" t="s">
        <v>133</v>
      </c>
      <c r="I79" s="2" t="s">
        <v>256</v>
      </c>
    </row>
    <row r="80" spans="1:9" x14ac:dyDescent="0.25">
      <c r="A80" s="2" t="s">
        <v>347</v>
      </c>
      <c r="B80" s="2" t="s">
        <v>348</v>
      </c>
      <c r="C80" s="2" t="s">
        <v>349</v>
      </c>
      <c r="D80" s="2" t="s">
        <v>138</v>
      </c>
      <c r="E80" s="1">
        <v>42695</v>
      </c>
      <c r="F80">
        <v>4</v>
      </c>
      <c r="G80" s="1">
        <v>31752</v>
      </c>
      <c r="H80" s="2" t="s">
        <v>96</v>
      </c>
      <c r="I80" s="2" t="s">
        <v>336</v>
      </c>
    </row>
    <row r="81" spans="1:9" x14ac:dyDescent="0.25">
      <c r="A81" s="2" t="s">
        <v>448</v>
      </c>
      <c r="B81" s="2" t="s">
        <v>449</v>
      </c>
      <c r="C81" s="2" t="s">
        <v>60</v>
      </c>
      <c r="D81" s="2" t="s">
        <v>446</v>
      </c>
      <c r="E81" s="1">
        <v>42709</v>
      </c>
      <c r="F81">
        <v>1</v>
      </c>
      <c r="G81" s="1">
        <v>33939</v>
      </c>
      <c r="H81" s="2" t="s">
        <v>96</v>
      </c>
      <c r="I81" s="2" t="s">
        <v>450</v>
      </c>
    </row>
    <row r="82" spans="1:9" x14ac:dyDescent="0.25">
      <c r="A82" s="2" t="s">
        <v>337</v>
      </c>
      <c r="B82" s="2" t="s">
        <v>338</v>
      </c>
      <c r="C82" s="2" t="s">
        <v>339</v>
      </c>
      <c r="D82" s="2" t="s">
        <v>340</v>
      </c>
      <c r="E82" s="1">
        <v>42738</v>
      </c>
      <c r="F82">
        <v>4</v>
      </c>
      <c r="G82" s="1">
        <v>34671</v>
      </c>
      <c r="H82" s="2" t="s">
        <v>96</v>
      </c>
      <c r="I82" s="2" t="s">
        <v>336</v>
      </c>
    </row>
    <row r="83" spans="1:9" x14ac:dyDescent="0.25">
      <c r="A83" s="2" t="s">
        <v>569</v>
      </c>
      <c r="B83" s="2" t="s">
        <v>570</v>
      </c>
      <c r="C83" s="2" t="s">
        <v>571</v>
      </c>
      <c r="D83" s="2" t="s">
        <v>87</v>
      </c>
      <c r="E83" s="1">
        <v>42767</v>
      </c>
      <c r="F83">
        <v>1</v>
      </c>
      <c r="G83" s="1">
        <v>32300</v>
      </c>
      <c r="H83" s="2" t="s">
        <v>88</v>
      </c>
      <c r="I83" s="2" t="s">
        <v>429</v>
      </c>
    </row>
    <row r="84" spans="1:9" x14ac:dyDescent="0.25">
      <c r="A84" s="2" t="s">
        <v>106</v>
      </c>
      <c r="B84" s="2" t="s">
        <v>107</v>
      </c>
      <c r="C84" s="2" t="s">
        <v>108</v>
      </c>
      <c r="D84" s="2" t="s">
        <v>95</v>
      </c>
      <c r="E84" s="1">
        <v>42849</v>
      </c>
      <c r="F84">
        <v>11</v>
      </c>
      <c r="G84" s="1">
        <v>32734</v>
      </c>
      <c r="H84" s="2" t="s">
        <v>96</v>
      </c>
      <c r="I84" s="2" t="s">
        <v>109</v>
      </c>
    </row>
    <row r="85" spans="1:9" x14ac:dyDescent="0.25">
      <c r="A85" s="2" t="s">
        <v>120</v>
      </c>
      <c r="B85" s="2" t="s">
        <v>121</v>
      </c>
      <c r="C85" s="2" t="s">
        <v>7</v>
      </c>
      <c r="D85" s="2" t="s">
        <v>87</v>
      </c>
      <c r="E85" s="1">
        <v>42917</v>
      </c>
      <c r="F85">
        <v>9</v>
      </c>
      <c r="G85" s="1">
        <v>28282</v>
      </c>
      <c r="H85" s="2" t="s">
        <v>8</v>
      </c>
      <c r="I85" s="2" t="s">
        <v>9</v>
      </c>
    </row>
    <row r="86" spans="1:9" x14ac:dyDescent="0.25">
      <c r="A86" s="2" t="s">
        <v>596</v>
      </c>
      <c r="B86" s="2" t="s">
        <v>597</v>
      </c>
      <c r="C86" s="2" t="s">
        <v>27</v>
      </c>
      <c r="D86" s="2" t="s">
        <v>132</v>
      </c>
      <c r="E86" s="1">
        <v>42918</v>
      </c>
      <c r="F86">
        <v>2</v>
      </c>
      <c r="G86" s="1">
        <v>31658</v>
      </c>
      <c r="H86" s="2" t="s">
        <v>133</v>
      </c>
      <c r="I86" s="2" t="s">
        <v>315</v>
      </c>
    </row>
    <row r="87" spans="1:9" x14ac:dyDescent="0.25">
      <c r="A87" s="2" t="s">
        <v>384</v>
      </c>
      <c r="B87" s="2" t="s">
        <v>385</v>
      </c>
      <c r="C87" s="2" t="s">
        <v>4</v>
      </c>
      <c r="D87" s="2" t="s">
        <v>221</v>
      </c>
      <c r="E87" s="1">
        <v>42919</v>
      </c>
      <c r="F87">
        <v>2</v>
      </c>
      <c r="G87" s="1">
        <v>34538</v>
      </c>
      <c r="H87" s="2" t="s">
        <v>2</v>
      </c>
      <c r="I87" s="2" t="s">
        <v>386</v>
      </c>
    </row>
    <row r="88" spans="1:9" x14ac:dyDescent="0.25">
      <c r="A88" s="2" t="s">
        <v>566</v>
      </c>
      <c r="B88" s="2" t="s">
        <v>567</v>
      </c>
      <c r="C88" s="2" t="s">
        <v>568</v>
      </c>
      <c r="D88" s="2" t="s">
        <v>170</v>
      </c>
      <c r="E88" s="1">
        <v>43017</v>
      </c>
      <c r="F88">
        <v>11</v>
      </c>
      <c r="G88" s="1">
        <v>26678</v>
      </c>
      <c r="H88" s="2" t="s">
        <v>96</v>
      </c>
      <c r="I88" s="2" t="s">
        <v>299</v>
      </c>
    </row>
    <row r="89" spans="1:9" x14ac:dyDescent="0.25">
      <c r="A89" s="2" t="s">
        <v>253</v>
      </c>
      <c r="B89" s="2" t="s">
        <v>254</v>
      </c>
      <c r="C89" s="2" t="s">
        <v>255</v>
      </c>
      <c r="D89" s="2" t="s">
        <v>132</v>
      </c>
      <c r="E89" s="1">
        <v>43052</v>
      </c>
      <c r="F89">
        <v>2</v>
      </c>
      <c r="G89" s="1">
        <v>33265</v>
      </c>
      <c r="H89" s="2" t="s">
        <v>133</v>
      </c>
      <c r="I89" s="2" t="s">
        <v>256</v>
      </c>
    </row>
    <row r="90" spans="1:9" x14ac:dyDescent="0.25">
      <c r="A90" s="2" t="s">
        <v>512</v>
      </c>
      <c r="B90" s="2" t="s">
        <v>513</v>
      </c>
      <c r="C90" s="2" t="s">
        <v>514</v>
      </c>
      <c r="D90" s="2" t="s">
        <v>143</v>
      </c>
      <c r="E90" s="1">
        <v>43122</v>
      </c>
      <c r="F90">
        <v>1</v>
      </c>
      <c r="G90" s="1">
        <v>33536</v>
      </c>
      <c r="H90" s="2" t="s">
        <v>96</v>
      </c>
      <c r="I90" s="2" t="s">
        <v>139</v>
      </c>
    </row>
    <row r="91" spans="1:9" x14ac:dyDescent="0.25">
      <c r="A91" s="2" t="s">
        <v>122</v>
      </c>
      <c r="B91" s="2" t="s">
        <v>123</v>
      </c>
      <c r="C91" s="2" t="s">
        <v>124</v>
      </c>
      <c r="D91" s="2" t="s">
        <v>125</v>
      </c>
      <c r="E91" s="1">
        <v>43160</v>
      </c>
      <c r="F91">
        <v>2</v>
      </c>
      <c r="G91" s="1">
        <v>29849</v>
      </c>
      <c r="H91" s="2" t="s">
        <v>96</v>
      </c>
      <c r="I91" s="2" t="s">
        <v>126</v>
      </c>
    </row>
    <row r="92" spans="1:9" x14ac:dyDescent="0.25">
      <c r="A92" s="2" t="s">
        <v>130</v>
      </c>
      <c r="B92" s="2" t="s">
        <v>131</v>
      </c>
      <c r="C92" s="2" t="s">
        <v>25</v>
      </c>
      <c r="D92" s="2" t="s">
        <v>132</v>
      </c>
      <c r="E92" s="1">
        <v>43227</v>
      </c>
      <c r="F92">
        <v>3</v>
      </c>
      <c r="G92" s="1">
        <v>27135</v>
      </c>
      <c r="H92" s="2" t="s">
        <v>133</v>
      </c>
      <c r="I92" s="2" t="s">
        <v>134</v>
      </c>
    </row>
    <row r="93" spans="1:9" x14ac:dyDescent="0.25">
      <c r="A93" s="2" t="s">
        <v>497</v>
      </c>
      <c r="B93" s="2" t="s">
        <v>498</v>
      </c>
      <c r="C93" s="2" t="s">
        <v>499</v>
      </c>
      <c r="D93" s="2" t="s">
        <v>209</v>
      </c>
      <c r="E93" s="1">
        <v>43283</v>
      </c>
      <c r="F93">
        <v>2</v>
      </c>
      <c r="G93" s="1">
        <v>29535</v>
      </c>
      <c r="H93" s="2" t="s">
        <v>37</v>
      </c>
      <c r="I93" s="2" t="s">
        <v>210</v>
      </c>
    </row>
    <row r="94" spans="1:9" x14ac:dyDescent="0.25">
      <c r="A94" s="2" t="s">
        <v>202</v>
      </c>
      <c r="B94" s="2" t="s">
        <v>203</v>
      </c>
      <c r="C94" s="2" t="s">
        <v>40</v>
      </c>
      <c r="D94" s="2" t="s">
        <v>100</v>
      </c>
      <c r="E94" s="1">
        <v>43283</v>
      </c>
      <c r="F94">
        <v>1</v>
      </c>
      <c r="G94" s="1">
        <v>35001</v>
      </c>
      <c r="H94" s="2" t="s">
        <v>41</v>
      </c>
      <c r="I94" s="2" t="s">
        <v>201</v>
      </c>
    </row>
    <row r="95" spans="1:9" x14ac:dyDescent="0.25">
      <c r="A95" s="2" t="s">
        <v>424</v>
      </c>
      <c r="B95" s="2" t="s">
        <v>425</v>
      </c>
      <c r="C95" s="2" t="s">
        <v>426</v>
      </c>
      <c r="D95" s="2" t="s">
        <v>282</v>
      </c>
      <c r="E95" s="1">
        <v>43297</v>
      </c>
      <c r="F95">
        <v>2</v>
      </c>
      <c r="G95" s="1">
        <v>29627</v>
      </c>
      <c r="H95" s="2" t="s">
        <v>96</v>
      </c>
      <c r="I95" s="2" t="s">
        <v>427</v>
      </c>
    </row>
    <row r="96" spans="1:9" x14ac:dyDescent="0.25">
      <c r="A96" s="2" t="s">
        <v>313</v>
      </c>
      <c r="B96" s="2" t="s">
        <v>314</v>
      </c>
      <c r="C96" s="2" t="s">
        <v>67</v>
      </c>
      <c r="D96" s="2" t="s">
        <v>132</v>
      </c>
      <c r="E96" s="1">
        <v>43318</v>
      </c>
      <c r="F96">
        <v>3</v>
      </c>
      <c r="G96" s="1">
        <v>32675</v>
      </c>
      <c r="H96" s="2" t="s">
        <v>133</v>
      </c>
      <c r="I96" s="2" t="s">
        <v>315</v>
      </c>
    </row>
    <row r="97" spans="1:9" x14ac:dyDescent="0.25">
      <c r="A97" s="2" t="s">
        <v>223</v>
      </c>
      <c r="B97" s="2" t="s">
        <v>224</v>
      </c>
      <c r="C97" s="2" t="s">
        <v>225</v>
      </c>
      <c r="D97" s="2" t="s">
        <v>226</v>
      </c>
      <c r="E97" s="1">
        <v>43325</v>
      </c>
      <c r="F97">
        <v>7</v>
      </c>
      <c r="G97" s="1">
        <v>30900</v>
      </c>
      <c r="H97" s="2" t="s">
        <v>96</v>
      </c>
      <c r="I97" s="2" t="s">
        <v>227</v>
      </c>
    </row>
    <row r="98" spans="1:9" x14ac:dyDescent="0.25">
      <c r="A98" s="2" t="s">
        <v>493</v>
      </c>
      <c r="B98" s="2" t="s">
        <v>494</v>
      </c>
      <c r="C98" s="2" t="s">
        <v>495</v>
      </c>
      <c r="D98" s="2" t="s">
        <v>170</v>
      </c>
      <c r="E98" s="1">
        <v>43444</v>
      </c>
      <c r="F98">
        <v>7</v>
      </c>
      <c r="G98" s="1">
        <v>30226</v>
      </c>
      <c r="H98" s="2" t="s">
        <v>96</v>
      </c>
      <c r="I98" s="2" t="s">
        <v>496</v>
      </c>
    </row>
    <row r="99" spans="1:9" x14ac:dyDescent="0.25">
      <c r="A99" s="2" t="s">
        <v>172</v>
      </c>
      <c r="B99" s="2" t="s">
        <v>173</v>
      </c>
      <c r="C99" s="2" t="s">
        <v>174</v>
      </c>
      <c r="D99" s="2" t="s">
        <v>175</v>
      </c>
      <c r="E99" s="1">
        <v>43500</v>
      </c>
      <c r="F99">
        <v>1</v>
      </c>
      <c r="G99" s="1">
        <v>32060</v>
      </c>
      <c r="H99" s="2" t="s">
        <v>96</v>
      </c>
      <c r="I99" s="2" t="s">
        <v>176</v>
      </c>
    </row>
    <row r="100" spans="1:9" x14ac:dyDescent="0.25">
      <c r="A100" s="2" t="s">
        <v>588</v>
      </c>
      <c r="B100" s="2" t="s">
        <v>589</v>
      </c>
      <c r="C100" s="2" t="s">
        <v>44</v>
      </c>
      <c r="D100" s="2" t="s">
        <v>100</v>
      </c>
      <c r="E100" s="1">
        <v>43500</v>
      </c>
      <c r="F100">
        <v>3</v>
      </c>
      <c r="G100" s="1">
        <v>34899</v>
      </c>
      <c r="H100" s="2" t="s">
        <v>41</v>
      </c>
      <c r="I100" s="2" t="s">
        <v>201</v>
      </c>
    </row>
    <row r="101" spans="1:9" x14ac:dyDescent="0.25">
      <c r="A101" s="2" t="s">
        <v>368</v>
      </c>
      <c r="B101" s="2" t="s">
        <v>369</v>
      </c>
      <c r="C101" s="2" t="s">
        <v>18</v>
      </c>
      <c r="D101" s="2" t="s">
        <v>105</v>
      </c>
      <c r="E101" s="1">
        <v>43500</v>
      </c>
      <c r="F101">
        <v>1</v>
      </c>
      <c r="G101" s="1">
        <v>36137</v>
      </c>
      <c r="H101" s="2" t="s">
        <v>17</v>
      </c>
      <c r="I101" s="2" t="s">
        <v>361</v>
      </c>
    </row>
    <row r="102" spans="1:9" x14ac:dyDescent="0.25">
      <c r="A102" s="2" t="s">
        <v>362</v>
      </c>
      <c r="B102" s="2" t="s">
        <v>363</v>
      </c>
      <c r="C102" s="2" t="s">
        <v>364</v>
      </c>
      <c r="D102" s="2" t="s">
        <v>105</v>
      </c>
      <c r="E102" s="1">
        <v>43507</v>
      </c>
      <c r="F102">
        <v>1</v>
      </c>
      <c r="G102" s="1">
        <v>33854</v>
      </c>
      <c r="H102" s="2" t="s">
        <v>17</v>
      </c>
      <c r="I102" s="2" t="s">
        <v>361</v>
      </c>
    </row>
    <row r="103" spans="1:9" x14ac:dyDescent="0.25">
      <c r="A103" s="2" t="s">
        <v>204</v>
      </c>
      <c r="B103" s="2" t="s">
        <v>205</v>
      </c>
      <c r="C103" s="2" t="s">
        <v>206</v>
      </c>
      <c r="D103" s="2" t="s">
        <v>100</v>
      </c>
      <c r="E103" s="1">
        <v>43507</v>
      </c>
      <c r="F103">
        <v>0</v>
      </c>
      <c r="G103" s="1">
        <v>35259</v>
      </c>
      <c r="H103" s="2" t="s">
        <v>41</v>
      </c>
      <c r="I103" s="2" t="s">
        <v>201</v>
      </c>
    </row>
    <row r="104" spans="1:9" x14ac:dyDescent="0.25">
      <c r="A104" s="2" t="s">
        <v>560</v>
      </c>
      <c r="B104" s="2" t="s">
        <v>561</v>
      </c>
      <c r="C104" s="2" t="s">
        <v>562</v>
      </c>
      <c r="D104" s="2" t="s">
        <v>79</v>
      </c>
      <c r="E104" s="1">
        <v>43528</v>
      </c>
      <c r="F104">
        <v>3</v>
      </c>
      <c r="G104" s="1">
        <v>21302</v>
      </c>
      <c r="H104" s="2" t="s">
        <v>80</v>
      </c>
      <c r="I104" s="2" t="s">
        <v>81</v>
      </c>
    </row>
    <row r="105" spans="1:9" x14ac:dyDescent="0.25">
      <c r="A105" s="2" t="s">
        <v>353</v>
      </c>
      <c r="B105" s="2" t="s">
        <v>354</v>
      </c>
      <c r="C105" s="2" t="s">
        <v>33</v>
      </c>
      <c r="D105" s="2" t="s">
        <v>247</v>
      </c>
      <c r="E105" s="1">
        <v>43528</v>
      </c>
      <c r="F105">
        <v>4</v>
      </c>
      <c r="G105" s="1">
        <v>28531</v>
      </c>
      <c r="H105" s="2" t="s">
        <v>248</v>
      </c>
      <c r="I105" s="2" t="s">
        <v>355</v>
      </c>
    </row>
    <row r="106" spans="1:9" x14ac:dyDescent="0.25">
      <c r="A106" s="2" t="s">
        <v>370</v>
      </c>
      <c r="B106" s="2" t="s">
        <v>371</v>
      </c>
      <c r="C106" s="2" t="s">
        <v>372</v>
      </c>
      <c r="D106" s="2" t="s">
        <v>221</v>
      </c>
      <c r="E106" s="1">
        <v>43528</v>
      </c>
      <c r="F106">
        <v>4</v>
      </c>
      <c r="G106" s="1">
        <v>29382</v>
      </c>
      <c r="H106" s="2" t="s">
        <v>2</v>
      </c>
      <c r="I106" s="2" t="s">
        <v>373</v>
      </c>
    </row>
    <row r="107" spans="1:9" x14ac:dyDescent="0.25">
      <c r="A107" s="2" t="s">
        <v>218</v>
      </c>
      <c r="B107" s="2" t="s">
        <v>219</v>
      </c>
      <c r="C107" s="2" t="s">
        <v>220</v>
      </c>
      <c r="D107" s="2" t="s">
        <v>221</v>
      </c>
      <c r="E107" s="1">
        <v>43528</v>
      </c>
      <c r="F107">
        <v>2</v>
      </c>
      <c r="G107" s="1">
        <v>30885</v>
      </c>
      <c r="H107" s="2" t="s">
        <v>2</v>
      </c>
      <c r="I107" s="2" t="s">
        <v>222</v>
      </c>
    </row>
    <row r="108" spans="1:9" x14ac:dyDescent="0.25">
      <c r="A108" s="2" t="s">
        <v>308</v>
      </c>
      <c r="B108" s="2" t="s">
        <v>309</v>
      </c>
      <c r="C108" s="2" t="s">
        <v>310</v>
      </c>
      <c r="D108" s="2" t="s">
        <v>155</v>
      </c>
      <c r="E108" s="1">
        <v>43528</v>
      </c>
      <c r="F108">
        <v>2</v>
      </c>
      <c r="G108" s="1">
        <v>32032</v>
      </c>
      <c r="H108" s="2" t="s">
        <v>2</v>
      </c>
      <c r="I108" s="2" t="s">
        <v>307</v>
      </c>
    </row>
    <row r="109" spans="1:9" x14ac:dyDescent="0.25">
      <c r="A109" s="2" t="s">
        <v>98</v>
      </c>
      <c r="B109" s="2" t="s">
        <v>99</v>
      </c>
      <c r="C109" s="2" t="s">
        <v>43</v>
      </c>
      <c r="D109" s="2" t="s">
        <v>100</v>
      </c>
      <c r="E109" s="1">
        <v>43528</v>
      </c>
      <c r="F109">
        <v>1</v>
      </c>
      <c r="G109" s="1">
        <v>34135</v>
      </c>
      <c r="H109" s="2" t="s">
        <v>41</v>
      </c>
      <c r="I109" s="2" t="s">
        <v>201</v>
      </c>
    </row>
    <row r="110" spans="1:9" x14ac:dyDescent="0.25">
      <c r="A110" s="2" t="s">
        <v>211</v>
      </c>
      <c r="B110" s="2" t="s">
        <v>212</v>
      </c>
      <c r="C110" s="2" t="s">
        <v>50</v>
      </c>
      <c r="D110" s="2" t="s">
        <v>209</v>
      </c>
      <c r="E110" s="1">
        <v>43528</v>
      </c>
      <c r="F110">
        <v>2</v>
      </c>
      <c r="G110" s="1">
        <v>34214</v>
      </c>
      <c r="H110" s="2" t="s">
        <v>37</v>
      </c>
      <c r="I110" s="2" t="s">
        <v>210</v>
      </c>
    </row>
    <row r="111" spans="1:9" x14ac:dyDescent="0.25">
      <c r="A111" s="2" t="s">
        <v>404</v>
      </c>
      <c r="B111" s="2" t="s">
        <v>405</v>
      </c>
      <c r="C111" s="2" t="s">
        <v>51</v>
      </c>
      <c r="D111" s="2" t="s">
        <v>221</v>
      </c>
      <c r="E111" s="1">
        <v>43528</v>
      </c>
      <c r="F111">
        <v>2</v>
      </c>
      <c r="G111" s="1">
        <v>35004</v>
      </c>
      <c r="H111" s="2" t="s">
        <v>2</v>
      </c>
      <c r="I111" s="2" t="s">
        <v>406</v>
      </c>
    </row>
    <row r="112" spans="1:9" x14ac:dyDescent="0.25">
      <c r="A112" s="2" t="s">
        <v>311</v>
      </c>
      <c r="B112" s="2" t="s">
        <v>312</v>
      </c>
      <c r="C112" s="2" t="s">
        <v>20</v>
      </c>
      <c r="D112" s="2" t="s">
        <v>221</v>
      </c>
      <c r="E112" s="1">
        <v>43528</v>
      </c>
      <c r="F112">
        <v>2</v>
      </c>
      <c r="G112" s="1">
        <v>35049</v>
      </c>
      <c r="H112" s="2" t="s">
        <v>2</v>
      </c>
      <c r="I112" s="2" t="s">
        <v>307</v>
      </c>
    </row>
    <row r="113" spans="1:9" x14ac:dyDescent="0.25">
      <c r="A113" s="2" t="s">
        <v>531</v>
      </c>
      <c r="B113" s="2" t="s">
        <v>532</v>
      </c>
      <c r="C113" s="2" t="s">
        <v>3</v>
      </c>
      <c r="D113" s="2" t="s">
        <v>150</v>
      </c>
      <c r="E113" s="1">
        <v>43528</v>
      </c>
      <c r="F113">
        <v>2</v>
      </c>
      <c r="G113" s="1">
        <v>35179</v>
      </c>
      <c r="H113" s="2" t="s">
        <v>2</v>
      </c>
      <c r="I113" s="2" t="s">
        <v>533</v>
      </c>
    </row>
    <row r="114" spans="1:9" x14ac:dyDescent="0.25">
      <c r="A114" s="2" t="s">
        <v>237</v>
      </c>
      <c r="B114" s="2" t="s">
        <v>238</v>
      </c>
      <c r="C114" s="2" t="s">
        <v>22</v>
      </c>
      <c r="D114" s="2" t="s">
        <v>231</v>
      </c>
      <c r="E114" s="1">
        <v>43528</v>
      </c>
      <c r="F114">
        <v>2</v>
      </c>
      <c r="G114" s="1">
        <v>35231</v>
      </c>
      <c r="H114" s="2" t="s">
        <v>232</v>
      </c>
      <c r="I114" s="2" t="s">
        <v>233</v>
      </c>
    </row>
    <row r="115" spans="1:9" x14ac:dyDescent="0.25">
      <c r="A115" s="2" t="s">
        <v>518</v>
      </c>
      <c r="B115" s="2" t="s">
        <v>519</v>
      </c>
      <c r="C115" s="2" t="s">
        <v>45</v>
      </c>
      <c r="D115" s="2" t="s">
        <v>87</v>
      </c>
      <c r="E115" s="1">
        <v>43528</v>
      </c>
      <c r="F115">
        <v>3</v>
      </c>
      <c r="G115" s="1">
        <v>35307</v>
      </c>
      <c r="H115" s="2" t="s">
        <v>88</v>
      </c>
      <c r="I115" s="2" t="s">
        <v>330</v>
      </c>
    </row>
    <row r="116" spans="1:9" x14ac:dyDescent="0.25">
      <c r="A116" s="2" t="s">
        <v>394</v>
      </c>
      <c r="B116" s="2" t="s">
        <v>395</v>
      </c>
      <c r="C116" s="2" t="s">
        <v>396</v>
      </c>
      <c r="D116" s="2" t="s">
        <v>221</v>
      </c>
      <c r="E116" s="1">
        <v>43528</v>
      </c>
      <c r="F116">
        <v>4</v>
      </c>
      <c r="G116" s="1">
        <v>35464</v>
      </c>
      <c r="H116" s="2" t="s">
        <v>151</v>
      </c>
      <c r="I116" s="2" t="s">
        <v>393</v>
      </c>
    </row>
    <row r="117" spans="1:9" x14ac:dyDescent="0.25">
      <c r="A117" s="2" t="s">
        <v>199</v>
      </c>
      <c r="B117" s="2" t="s">
        <v>200</v>
      </c>
      <c r="C117" s="2" t="s">
        <v>64</v>
      </c>
      <c r="D117" s="2" t="s">
        <v>100</v>
      </c>
      <c r="E117" s="1">
        <v>43528</v>
      </c>
      <c r="F117">
        <v>1</v>
      </c>
      <c r="G117" s="1">
        <v>35478</v>
      </c>
      <c r="H117" s="2" t="s">
        <v>56</v>
      </c>
      <c r="I117" s="2" t="s">
        <v>201</v>
      </c>
    </row>
    <row r="118" spans="1:9" x14ac:dyDescent="0.25">
      <c r="A118" s="2" t="s">
        <v>451</v>
      </c>
      <c r="B118" s="2" t="s">
        <v>452</v>
      </c>
      <c r="C118" s="2" t="s">
        <v>453</v>
      </c>
      <c r="D118" s="2" t="s">
        <v>221</v>
      </c>
      <c r="E118" s="1">
        <v>43528</v>
      </c>
      <c r="F118">
        <v>7</v>
      </c>
      <c r="G118" s="1">
        <v>35637</v>
      </c>
      <c r="H118" s="2" t="s">
        <v>151</v>
      </c>
      <c r="I118" s="2" t="s">
        <v>386</v>
      </c>
    </row>
    <row r="119" spans="1:9" x14ac:dyDescent="0.25">
      <c r="A119" s="2" t="s">
        <v>484</v>
      </c>
      <c r="B119" s="2" t="s">
        <v>485</v>
      </c>
      <c r="C119" s="2" t="s">
        <v>11</v>
      </c>
      <c r="D119" s="2" t="s">
        <v>150</v>
      </c>
      <c r="E119" s="1">
        <v>43528</v>
      </c>
      <c r="F119">
        <v>4</v>
      </c>
      <c r="G119" s="1">
        <v>35791</v>
      </c>
      <c r="H119" s="2" t="s">
        <v>2</v>
      </c>
      <c r="I119" s="2" t="s">
        <v>222</v>
      </c>
    </row>
    <row r="120" spans="1:9" x14ac:dyDescent="0.25">
      <c r="A120" s="2" t="s">
        <v>397</v>
      </c>
      <c r="B120" s="2" t="s">
        <v>398</v>
      </c>
      <c r="C120" s="2" t="s">
        <v>399</v>
      </c>
      <c r="D120" s="2" t="s">
        <v>150</v>
      </c>
      <c r="E120" s="1">
        <v>43528</v>
      </c>
      <c r="F120">
        <v>2</v>
      </c>
      <c r="G120" s="1">
        <v>35926</v>
      </c>
      <c r="H120" s="2" t="s">
        <v>151</v>
      </c>
      <c r="I120" s="2" t="s">
        <v>393</v>
      </c>
    </row>
    <row r="121" spans="1:9" x14ac:dyDescent="0.25">
      <c r="A121" s="2" t="s">
        <v>391</v>
      </c>
      <c r="B121" s="2" t="s">
        <v>392</v>
      </c>
      <c r="C121" s="2" t="s">
        <v>28</v>
      </c>
      <c r="D121" s="2" t="s">
        <v>150</v>
      </c>
      <c r="E121" s="1">
        <v>43528</v>
      </c>
      <c r="F121">
        <v>2</v>
      </c>
      <c r="G121" s="1">
        <v>36320</v>
      </c>
      <c r="H121" s="2" t="s">
        <v>151</v>
      </c>
      <c r="I121" s="2" t="s">
        <v>393</v>
      </c>
    </row>
    <row r="122" spans="1:9" x14ac:dyDescent="0.25">
      <c r="A122" s="2" t="s">
        <v>365</v>
      </c>
      <c r="B122" s="2" t="s">
        <v>366</v>
      </c>
      <c r="C122" s="2" t="s">
        <v>367</v>
      </c>
      <c r="D122" s="2" t="s">
        <v>105</v>
      </c>
      <c r="E122" s="1">
        <v>43556</v>
      </c>
      <c r="F122">
        <v>12</v>
      </c>
      <c r="G122" s="1">
        <v>35751</v>
      </c>
      <c r="H122" s="2" t="s">
        <v>17</v>
      </c>
      <c r="I122" s="2" t="s">
        <v>361</v>
      </c>
    </row>
    <row r="123" spans="1:9" x14ac:dyDescent="0.25">
      <c r="A123" s="2" t="s">
        <v>554</v>
      </c>
      <c r="B123" s="2" t="s">
        <v>555</v>
      </c>
      <c r="C123" s="2" t="s">
        <v>556</v>
      </c>
      <c r="D123" s="2" t="s">
        <v>143</v>
      </c>
      <c r="E123" s="1">
        <v>43619</v>
      </c>
      <c r="F123">
        <v>2</v>
      </c>
      <c r="G123" s="1">
        <v>33159</v>
      </c>
      <c r="H123" s="2" t="s">
        <v>96</v>
      </c>
      <c r="I123" s="2" t="s">
        <v>336</v>
      </c>
    </row>
    <row r="124" spans="1:9" x14ac:dyDescent="0.25">
      <c r="A124" s="2" t="s">
        <v>77</v>
      </c>
      <c r="B124" s="2" t="s">
        <v>78</v>
      </c>
      <c r="C124" s="2" t="s">
        <v>32</v>
      </c>
      <c r="D124" s="2" t="s">
        <v>79</v>
      </c>
      <c r="E124" s="1">
        <v>43626</v>
      </c>
      <c r="F124">
        <v>2</v>
      </c>
      <c r="G124" s="1">
        <v>33922</v>
      </c>
      <c r="H124" s="2" t="s">
        <v>80</v>
      </c>
      <c r="I124" s="2" t="s">
        <v>81</v>
      </c>
    </row>
    <row r="125" spans="1:9" x14ac:dyDescent="0.25">
      <c r="A125" s="2" t="s">
        <v>344</v>
      </c>
      <c r="B125" s="2" t="s">
        <v>345</v>
      </c>
      <c r="C125" s="2" t="s">
        <v>346</v>
      </c>
      <c r="D125" s="2" t="s">
        <v>138</v>
      </c>
      <c r="E125" s="1">
        <v>43663</v>
      </c>
      <c r="F125">
        <v>4</v>
      </c>
      <c r="G125" s="1">
        <v>35196</v>
      </c>
      <c r="H125" s="2" t="s">
        <v>96</v>
      </c>
      <c r="I125" s="2" t="s">
        <v>336</v>
      </c>
    </row>
    <row r="126" spans="1:9" x14ac:dyDescent="0.25">
      <c r="A126" s="2" t="s">
        <v>140</v>
      </c>
      <c r="B126" s="2" t="s">
        <v>141</v>
      </c>
      <c r="C126" s="2" t="s">
        <v>142</v>
      </c>
      <c r="D126" s="2" t="s">
        <v>143</v>
      </c>
      <c r="E126" s="1">
        <v>43689</v>
      </c>
      <c r="F126">
        <v>2</v>
      </c>
      <c r="G126" s="1">
        <v>34382</v>
      </c>
      <c r="H126" s="2" t="s">
        <v>96</v>
      </c>
      <c r="I126" s="2" t="s">
        <v>139</v>
      </c>
    </row>
    <row r="127" spans="1:9" x14ac:dyDescent="0.25">
      <c r="A127" s="2" t="s">
        <v>184</v>
      </c>
      <c r="B127" s="2" t="s">
        <v>185</v>
      </c>
      <c r="C127" s="2" t="s">
        <v>186</v>
      </c>
      <c r="D127" s="2" t="s">
        <v>105</v>
      </c>
      <c r="E127" s="1">
        <v>43717</v>
      </c>
      <c r="F127">
        <v>2</v>
      </c>
      <c r="G127" s="1">
        <v>31424</v>
      </c>
      <c r="H127" s="2" t="s">
        <v>17</v>
      </c>
      <c r="I127" s="2" t="s">
        <v>183</v>
      </c>
    </row>
    <row r="128" spans="1:9" x14ac:dyDescent="0.25">
      <c r="A128" s="2" t="s">
        <v>486</v>
      </c>
      <c r="B128" s="2" t="s">
        <v>487</v>
      </c>
      <c r="C128" s="2" t="s">
        <v>48</v>
      </c>
      <c r="D128" s="2" t="s">
        <v>105</v>
      </c>
      <c r="E128" s="1">
        <v>43731</v>
      </c>
      <c r="F128">
        <v>2</v>
      </c>
      <c r="G128" s="1">
        <v>33905</v>
      </c>
      <c r="H128" s="2" t="s">
        <v>17</v>
      </c>
      <c r="I128" s="2" t="s">
        <v>101</v>
      </c>
    </row>
    <row r="129" spans="1:9" x14ac:dyDescent="0.25">
      <c r="A129" s="2" t="s">
        <v>156</v>
      </c>
      <c r="B129" s="2" t="s">
        <v>157</v>
      </c>
      <c r="C129" s="2" t="s">
        <v>158</v>
      </c>
      <c r="D129" s="2" t="s">
        <v>143</v>
      </c>
      <c r="E129" s="1">
        <v>43739</v>
      </c>
      <c r="F129">
        <v>2</v>
      </c>
      <c r="G129" s="1">
        <v>35317</v>
      </c>
      <c r="H129" s="2" t="s">
        <v>96</v>
      </c>
      <c r="I129" s="2" t="s">
        <v>159</v>
      </c>
    </row>
    <row r="130" spans="1:9" x14ac:dyDescent="0.25">
      <c r="A130" s="2" t="s">
        <v>92</v>
      </c>
      <c r="B130" s="2" t="s">
        <v>93</v>
      </c>
      <c r="C130" s="2" t="s">
        <v>94</v>
      </c>
      <c r="D130" s="2" t="s">
        <v>95</v>
      </c>
      <c r="E130" s="1">
        <v>43773</v>
      </c>
      <c r="F130">
        <v>7</v>
      </c>
      <c r="G130" s="1">
        <v>34346</v>
      </c>
      <c r="H130" s="2" t="s">
        <v>96</v>
      </c>
      <c r="I130" s="2" t="s">
        <v>97</v>
      </c>
    </row>
    <row r="131" spans="1:9" x14ac:dyDescent="0.25">
      <c r="A131" s="2" t="s">
        <v>117</v>
      </c>
      <c r="B131" s="2" t="s">
        <v>118</v>
      </c>
      <c r="C131" s="2" t="s">
        <v>119</v>
      </c>
      <c r="D131" s="2" t="s">
        <v>95</v>
      </c>
      <c r="E131" s="1">
        <v>43787</v>
      </c>
      <c r="F131">
        <v>5</v>
      </c>
      <c r="G131" s="1">
        <v>32369</v>
      </c>
      <c r="H131" s="2" t="s">
        <v>96</v>
      </c>
      <c r="I131" s="2" t="s">
        <v>113</v>
      </c>
    </row>
    <row r="132" spans="1:9" x14ac:dyDescent="0.25">
      <c r="A132" s="2" t="s">
        <v>529</v>
      </c>
      <c r="B132" s="2" t="s">
        <v>530</v>
      </c>
      <c r="C132" s="2" t="s">
        <v>35</v>
      </c>
      <c r="D132" s="2" t="s">
        <v>87</v>
      </c>
      <c r="E132" s="1">
        <v>43809</v>
      </c>
      <c r="F132">
        <v>4</v>
      </c>
      <c r="G132" s="1">
        <v>34122</v>
      </c>
      <c r="H132" s="2" t="s">
        <v>88</v>
      </c>
      <c r="I132" s="2" t="s">
        <v>89</v>
      </c>
    </row>
    <row r="133" spans="1:9" x14ac:dyDescent="0.25">
      <c r="A133" s="2" t="s">
        <v>574</v>
      </c>
      <c r="B133" s="2" t="s">
        <v>575</v>
      </c>
      <c r="C133" s="2" t="s">
        <v>6</v>
      </c>
      <c r="D133" s="2" t="s">
        <v>150</v>
      </c>
      <c r="E133" s="1">
        <v>43858</v>
      </c>
      <c r="F133">
        <v>2</v>
      </c>
      <c r="G133" s="1">
        <v>36356</v>
      </c>
      <c r="H133" s="2" t="s">
        <v>2</v>
      </c>
      <c r="I133" s="2" t="s">
        <v>409</v>
      </c>
    </row>
    <row r="134" spans="1:9" x14ac:dyDescent="0.25">
      <c r="A134" s="2" t="s">
        <v>598</v>
      </c>
      <c r="B134" s="2" t="s">
        <v>599</v>
      </c>
      <c r="C134" s="2" t="s">
        <v>58</v>
      </c>
      <c r="D134" s="2" t="s">
        <v>105</v>
      </c>
      <c r="E134" s="1">
        <v>43869</v>
      </c>
      <c r="F134">
        <v>2</v>
      </c>
      <c r="G134" s="1">
        <v>35565</v>
      </c>
      <c r="H134" s="2" t="s">
        <v>17</v>
      </c>
      <c r="I134" s="2" t="s">
        <v>59</v>
      </c>
    </row>
    <row r="135" spans="1:9" x14ac:dyDescent="0.25">
      <c r="A135" s="2" t="s">
        <v>407</v>
      </c>
      <c r="B135" s="2" t="s">
        <v>408</v>
      </c>
      <c r="C135" s="2" t="s">
        <v>10</v>
      </c>
      <c r="D135" s="2" t="s">
        <v>221</v>
      </c>
      <c r="E135" s="1">
        <v>43871</v>
      </c>
      <c r="F135">
        <v>10</v>
      </c>
      <c r="G135" s="1">
        <v>35455</v>
      </c>
      <c r="H135" s="2" t="s">
        <v>2</v>
      </c>
      <c r="I135" s="2" t="s">
        <v>409</v>
      </c>
    </row>
    <row r="136" spans="1:9" x14ac:dyDescent="0.25">
      <c r="A136" s="2" t="s">
        <v>114</v>
      </c>
      <c r="B136" s="2" t="s">
        <v>115</v>
      </c>
      <c r="C136" s="2" t="s">
        <v>116</v>
      </c>
      <c r="D136" s="2" t="s">
        <v>95</v>
      </c>
      <c r="E136" s="1">
        <v>43873</v>
      </c>
      <c r="F136">
        <v>6</v>
      </c>
      <c r="G136" s="1">
        <v>29852</v>
      </c>
      <c r="H136" s="2" t="s">
        <v>96</v>
      </c>
      <c r="I136" s="2" t="s">
        <v>113</v>
      </c>
    </row>
    <row r="137" spans="1:9" x14ac:dyDescent="0.25">
      <c r="A137" s="2" t="s">
        <v>293</v>
      </c>
      <c r="B137" s="2" t="s">
        <v>294</v>
      </c>
      <c r="C137" s="2" t="s">
        <v>55</v>
      </c>
      <c r="D137" s="2" t="s">
        <v>170</v>
      </c>
      <c r="E137" s="1">
        <v>43906</v>
      </c>
      <c r="F137">
        <v>4</v>
      </c>
      <c r="G137" s="1">
        <v>29813</v>
      </c>
      <c r="H137" s="2" t="s">
        <v>96</v>
      </c>
      <c r="I137" s="2" t="s">
        <v>295</v>
      </c>
    </row>
    <row r="138" spans="1:9" x14ac:dyDescent="0.25">
      <c r="A138" s="2" t="s">
        <v>331</v>
      </c>
      <c r="B138" s="2" t="s">
        <v>332</v>
      </c>
      <c r="C138" s="2" t="s">
        <v>26</v>
      </c>
      <c r="D138" s="2" t="s">
        <v>87</v>
      </c>
      <c r="E138" s="1">
        <v>43913</v>
      </c>
      <c r="F138">
        <v>4</v>
      </c>
      <c r="G138" s="1">
        <v>31584</v>
      </c>
      <c r="H138" s="2" t="s">
        <v>88</v>
      </c>
      <c r="I138" s="2" t="s">
        <v>330</v>
      </c>
    </row>
    <row r="139" spans="1:9" x14ac:dyDescent="0.25">
      <c r="A139" s="2" t="s">
        <v>102</v>
      </c>
      <c r="B139" s="2" t="s">
        <v>103</v>
      </c>
      <c r="C139" s="2" t="s">
        <v>104</v>
      </c>
      <c r="D139" s="2" t="s">
        <v>105</v>
      </c>
      <c r="E139" s="1">
        <v>43934</v>
      </c>
      <c r="F139">
        <v>3</v>
      </c>
      <c r="G139" s="1">
        <v>35635</v>
      </c>
      <c r="H139" s="2" t="s">
        <v>17</v>
      </c>
      <c r="I139" s="2" t="s">
        <v>101</v>
      </c>
    </row>
    <row r="140" spans="1:9" x14ac:dyDescent="0.25">
      <c r="A140" s="2" t="s">
        <v>257</v>
      </c>
      <c r="B140" s="2" t="s">
        <v>258</v>
      </c>
      <c r="C140" s="2" t="s">
        <v>66</v>
      </c>
      <c r="D140" s="2" t="s">
        <v>132</v>
      </c>
      <c r="E140" s="1">
        <v>44042</v>
      </c>
      <c r="F140">
        <v>1</v>
      </c>
      <c r="G140" s="1">
        <v>34594</v>
      </c>
      <c r="H140" s="2" t="s">
        <v>133</v>
      </c>
      <c r="I140" s="2" t="s">
        <v>256</v>
      </c>
    </row>
    <row r="141" spans="1:9" x14ac:dyDescent="0.25">
      <c r="A141" s="2" t="s">
        <v>164</v>
      </c>
      <c r="B141" s="2" t="s">
        <v>165</v>
      </c>
      <c r="C141" s="2" t="s">
        <v>61</v>
      </c>
      <c r="D141" s="2" t="s">
        <v>150</v>
      </c>
      <c r="E141" s="1">
        <v>44054</v>
      </c>
      <c r="F141">
        <v>2</v>
      </c>
      <c r="G141" s="1">
        <v>37132</v>
      </c>
      <c r="H141" s="2" t="s">
        <v>8</v>
      </c>
      <c r="I141" s="2" t="s">
        <v>166</v>
      </c>
    </row>
    <row r="142" spans="1:9" x14ac:dyDescent="0.25">
      <c r="A142" s="2" t="s">
        <v>557</v>
      </c>
      <c r="B142" s="2" t="s">
        <v>558</v>
      </c>
      <c r="C142" s="2" t="s">
        <v>559</v>
      </c>
      <c r="D142" s="2" t="s">
        <v>150</v>
      </c>
      <c r="E142" s="1">
        <v>44082</v>
      </c>
      <c r="F142">
        <v>3</v>
      </c>
      <c r="G142" s="1">
        <v>29853</v>
      </c>
      <c r="H142" s="2" t="s">
        <v>151</v>
      </c>
      <c r="I142" s="2" t="s">
        <v>274</v>
      </c>
    </row>
    <row r="143" spans="1:9" x14ac:dyDescent="0.25">
      <c r="A143" s="2" t="s">
        <v>196</v>
      </c>
      <c r="B143" s="2" t="s">
        <v>197</v>
      </c>
      <c r="C143" s="2" t="s">
        <v>198</v>
      </c>
      <c r="D143" s="2" t="s">
        <v>105</v>
      </c>
      <c r="E143" s="1">
        <v>44131</v>
      </c>
      <c r="F143">
        <v>2</v>
      </c>
      <c r="G143" s="1">
        <v>37189</v>
      </c>
      <c r="H143" s="2" t="s">
        <v>17</v>
      </c>
      <c r="I143" s="2" t="s">
        <v>183</v>
      </c>
    </row>
    <row r="144" spans="1:9" x14ac:dyDescent="0.25">
      <c r="A144" s="2" t="s">
        <v>324</v>
      </c>
      <c r="B144" s="2" t="s">
        <v>325</v>
      </c>
      <c r="C144" s="2" t="s">
        <v>326</v>
      </c>
      <c r="D144" s="2" t="s">
        <v>231</v>
      </c>
      <c r="E144" s="1">
        <v>44141</v>
      </c>
      <c r="F144">
        <v>2</v>
      </c>
      <c r="G144" s="1">
        <v>34513</v>
      </c>
      <c r="H144" s="2" t="s">
        <v>232</v>
      </c>
      <c r="I144" s="2" t="s">
        <v>323</v>
      </c>
    </row>
    <row r="145" spans="1:9" x14ac:dyDescent="0.25">
      <c r="A145" s="2" t="s">
        <v>459</v>
      </c>
      <c r="B145" s="2" t="s">
        <v>460</v>
      </c>
      <c r="C145" s="2" t="s">
        <v>461</v>
      </c>
      <c r="D145" s="2" t="s">
        <v>462</v>
      </c>
      <c r="E145" s="1">
        <v>44151</v>
      </c>
      <c r="F145">
        <v>3</v>
      </c>
      <c r="G145" s="1">
        <v>34099</v>
      </c>
      <c r="H145" s="2" t="s">
        <v>96</v>
      </c>
      <c r="I145" s="2" t="s">
        <v>463</v>
      </c>
    </row>
    <row r="146" spans="1:9" x14ac:dyDescent="0.25">
      <c r="A146" s="2" t="s">
        <v>320</v>
      </c>
      <c r="B146" s="2" t="s">
        <v>321</v>
      </c>
      <c r="C146" s="2" t="s">
        <v>322</v>
      </c>
      <c r="D146" s="2" t="s">
        <v>231</v>
      </c>
      <c r="E146" s="1">
        <v>44151</v>
      </c>
      <c r="F146">
        <v>2</v>
      </c>
      <c r="G146" s="1">
        <v>36961</v>
      </c>
      <c r="H146" s="2" t="s">
        <v>232</v>
      </c>
      <c r="I146" s="2" t="s">
        <v>323</v>
      </c>
    </row>
    <row r="147" spans="1:9" x14ac:dyDescent="0.25">
      <c r="A147" s="2" t="s">
        <v>412</v>
      </c>
      <c r="B147" s="2" t="s">
        <v>413</v>
      </c>
      <c r="C147" s="2" t="s">
        <v>414</v>
      </c>
      <c r="D147" s="2" t="s">
        <v>150</v>
      </c>
      <c r="E147" s="1">
        <v>44165</v>
      </c>
      <c r="F147">
        <v>3</v>
      </c>
      <c r="G147" s="1">
        <v>28931</v>
      </c>
      <c r="H147" s="2" t="s">
        <v>603</v>
      </c>
      <c r="I147" s="2" t="s">
        <v>415</v>
      </c>
    </row>
    <row r="148" spans="1:9" x14ac:dyDescent="0.25">
      <c r="A148" s="2" t="s">
        <v>604</v>
      </c>
      <c r="B148" s="2" t="s">
        <v>605</v>
      </c>
      <c r="C148" s="2" t="s">
        <v>606</v>
      </c>
      <c r="D148" s="2" t="s">
        <v>180</v>
      </c>
      <c r="E148" s="1">
        <v>44166</v>
      </c>
      <c r="F148">
        <v>3</v>
      </c>
      <c r="G148" s="1">
        <v>28215</v>
      </c>
      <c r="H148" s="2" t="s">
        <v>603</v>
      </c>
      <c r="I148" s="2" t="s">
        <v>607</v>
      </c>
    </row>
    <row r="149" spans="1:9" x14ac:dyDescent="0.25">
      <c r="A149" s="2" t="s">
        <v>515</v>
      </c>
      <c r="B149" s="2" t="s">
        <v>516</v>
      </c>
      <c r="C149" s="2" t="s">
        <v>517</v>
      </c>
      <c r="D149" s="2" t="s">
        <v>105</v>
      </c>
      <c r="E149" s="1">
        <v>44198</v>
      </c>
      <c r="F149">
        <v>1</v>
      </c>
      <c r="G149" s="1">
        <v>25800</v>
      </c>
      <c r="H149" s="2" t="s">
        <v>17</v>
      </c>
      <c r="I149" s="2" t="s">
        <v>183</v>
      </c>
    </row>
    <row r="150" spans="1:9" x14ac:dyDescent="0.25">
      <c r="A150" s="2" t="s">
        <v>550</v>
      </c>
      <c r="B150" s="2" t="s">
        <v>551</v>
      </c>
      <c r="C150" s="2" t="s">
        <v>552</v>
      </c>
      <c r="D150" s="2" t="s">
        <v>491</v>
      </c>
      <c r="E150" s="1">
        <v>44198</v>
      </c>
      <c r="F150">
        <v>1</v>
      </c>
      <c r="G150" s="1">
        <v>32126</v>
      </c>
      <c r="H150" s="2" t="s">
        <v>2</v>
      </c>
      <c r="I150" s="2" t="s">
        <v>409</v>
      </c>
    </row>
    <row r="151" spans="1:9" x14ac:dyDescent="0.25">
      <c r="A151" s="2" t="s">
        <v>374</v>
      </c>
      <c r="B151" s="2" t="s">
        <v>375</v>
      </c>
      <c r="C151" s="2" t="s">
        <v>376</v>
      </c>
      <c r="D151" s="2" t="s">
        <v>377</v>
      </c>
      <c r="E151" s="1">
        <v>44198</v>
      </c>
      <c r="F151">
        <v>1</v>
      </c>
      <c r="G151" s="1">
        <v>32442</v>
      </c>
      <c r="H151" s="2" t="s">
        <v>151</v>
      </c>
      <c r="I151" s="2" t="s">
        <v>378</v>
      </c>
    </row>
    <row r="152" spans="1:9" x14ac:dyDescent="0.25">
      <c r="A152" s="2" t="s">
        <v>187</v>
      </c>
      <c r="B152" s="2" t="s">
        <v>188</v>
      </c>
      <c r="C152" s="2" t="s">
        <v>189</v>
      </c>
      <c r="D152" s="2" t="s">
        <v>105</v>
      </c>
      <c r="E152" s="1">
        <v>44198</v>
      </c>
      <c r="F152">
        <v>1</v>
      </c>
      <c r="G152" s="1">
        <v>35690</v>
      </c>
      <c r="H152" s="2" t="s">
        <v>17</v>
      </c>
      <c r="I152" s="2" t="s">
        <v>183</v>
      </c>
    </row>
    <row r="153" spans="1:9" x14ac:dyDescent="0.25">
      <c r="A153" s="2" t="s">
        <v>193</v>
      </c>
      <c r="B153" s="2" t="s">
        <v>194</v>
      </c>
      <c r="C153" s="2" t="s">
        <v>195</v>
      </c>
      <c r="D153" s="2" t="s">
        <v>105</v>
      </c>
      <c r="E153" s="1">
        <v>44198</v>
      </c>
      <c r="F153">
        <v>1</v>
      </c>
      <c r="G153" s="1">
        <v>36140</v>
      </c>
      <c r="H153" s="2" t="s">
        <v>17</v>
      </c>
      <c r="I153" s="2" t="s">
        <v>183</v>
      </c>
    </row>
    <row r="154" spans="1:9" x14ac:dyDescent="0.25">
      <c r="A154" s="2" t="s">
        <v>456</v>
      </c>
      <c r="B154" s="2" t="s">
        <v>457</v>
      </c>
      <c r="C154" s="2" t="s">
        <v>458</v>
      </c>
      <c r="D154" s="2" t="s">
        <v>105</v>
      </c>
      <c r="E154" s="1">
        <v>44198</v>
      </c>
      <c r="F154">
        <v>1</v>
      </c>
      <c r="G154" s="1">
        <v>36194</v>
      </c>
      <c r="H154" s="2" t="s">
        <v>17</v>
      </c>
      <c r="I154" s="2" t="s">
        <v>183</v>
      </c>
    </row>
    <row r="155" spans="1:9" x14ac:dyDescent="0.25">
      <c r="A155" s="2" t="s">
        <v>181</v>
      </c>
      <c r="B155" s="2" t="s">
        <v>182</v>
      </c>
      <c r="C155" s="2" t="s">
        <v>53</v>
      </c>
      <c r="D155" s="2" t="s">
        <v>105</v>
      </c>
      <c r="E155" s="1">
        <v>44198</v>
      </c>
      <c r="F155">
        <v>1</v>
      </c>
      <c r="G155" s="1">
        <v>36311</v>
      </c>
      <c r="H155" s="2" t="s">
        <v>17</v>
      </c>
      <c r="I155" s="2" t="s">
        <v>183</v>
      </c>
    </row>
    <row r="156" spans="1:9" x14ac:dyDescent="0.25">
      <c r="A156" s="2" t="s">
        <v>576</v>
      </c>
      <c r="B156" s="2" t="s">
        <v>577</v>
      </c>
      <c r="C156" s="2" t="s">
        <v>578</v>
      </c>
      <c r="D156" s="2" t="s">
        <v>105</v>
      </c>
      <c r="E156" s="1">
        <v>44198</v>
      </c>
      <c r="F156">
        <v>1</v>
      </c>
      <c r="G156" s="1">
        <v>36394</v>
      </c>
      <c r="H156" s="2" t="s">
        <v>17</v>
      </c>
      <c r="I156" s="2" t="s">
        <v>183</v>
      </c>
    </row>
    <row r="157" spans="1:9" x14ac:dyDescent="0.25">
      <c r="A157" s="2" t="s">
        <v>190</v>
      </c>
      <c r="B157" s="2" t="s">
        <v>191</v>
      </c>
      <c r="C157" s="2" t="s">
        <v>192</v>
      </c>
      <c r="D157" s="2" t="s">
        <v>105</v>
      </c>
      <c r="E157" s="1">
        <v>44198</v>
      </c>
      <c r="F157">
        <v>1</v>
      </c>
      <c r="G157" s="1">
        <v>36751</v>
      </c>
      <c r="H157" s="2" t="s">
        <v>17</v>
      </c>
      <c r="I157" s="2" t="s">
        <v>183</v>
      </c>
    </row>
    <row r="158" spans="1:9" x14ac:dyDescent="0.25">
      <c r="A158" s="2" t="s">
        <v>135</v>
      </c>
      <c r="B158" s="2" t="s">
        <v>136</v>
      </c>
      <c r="C158" s="2" t="s">
        <v>137</v>
      </c>
      <c r="D158" s="2" t="s">
        <v>138</v>
      </c>
      <c r="E158" s="1">
        <v>44200</v>
      </c>
      <c r="F158">
        <v>1</v>
      </c>
      <c r="G158" s="1">
        <v>34080</v>
      </c>
      <c r="H158" s="2" t="s">
        <v>96</v>
      </c>
      <c r="I158" s="2" t="s">
        <v>139</v>
      </c>
    </row>
    <row r="159" spans="1:9" x14ac:dyDescent="0.25">
      <c r="A159" s="2" t="s">
        <v>608</v>
      </c>
      <c r="B159" s="2" t="s">
        <v>609</v>
      </c>
      <c r="C159" s="2" t="s">
        <v>610</v>
      </c>
      <c r="D159" s="2" t="s">
        <v>150</v>
      </c>
      <c r="E159" s="1">
        <v>44249</v>
      </c>
      <c r="F159">
        <v>0</v>
      </c>
      <c r="G159" s="1">
        <v>32463</v>
      </c>
      <c r="H159" s="2" t="s">
        <v>603</v>
      </c>
      <c r="I159" s="2" t="s">
        <v>274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4"/>
  <sheetViews>
    <sheetView workbookViewId="0">
      <selection activeCell="L5" sqref="L5"/>
    </sheetView>
  </sheetViews>
  <sheetFormatPr baseColWidth="10" defaultRowHeight="15" x14ac:dyDescent="0.25"/>
  <cols>
    <col min="1" max="1" width="22.85546875" customWidth="1"/>
    <col min="2" max="2" width="22.7109375" customWidth="1"/>
    <col min="3" max="3" width="24.140625" customWidth="1"/>
    <col min="4" max="4" width="27" customWidth="1"/>
    <col min="5" max="5" width="43.28515625" customWidth="1"/>
    <col min="6" max="6" width="38.42578125" bestFit="1" customWidth="1"/>
    <col min="7" max="7" width="25.85546875" bestFit="1" customWidth="1"/>
    <col min="8" max="8" width="22.85546875" bestFit="1" customWidth="1"/>
    <col min="9" max="9" width="14.140625" customWidth="1"/>
    <col min="10" max="10" width="11.42578125" style="1"/>
    <col min="11" max="11" width="20.140625" bestFit="1" customWidth="1"/>
  </cols>
  <sheetData>
    <row r="1" spans="1:12" s="4" customFormat="1" ht="15.75" x14ac:dyDescent="0.25">
      <c r="A1" s="4" t="s">
        <v>815</v>
      </c>
      <c r="B1" s="4" t="s">
        <v>0</v>
      </c>
      <c r="C1" s="4" t="s">
        <v>816</v>
      </c>
      <c r="D1" s="4" t="s">
        <v>817</v>
      </c>
      <c r="E1" s="4" t="s">
        <v>818</v>
      </c>
      <c r="F1" s="4" t="s">
        <v>819</v>
      </c>
      <c r="G1" s="4" t="s">
        <v>820</v>
      </c>
      <c r="H1" s="4" t="s">
        <v>830</v>
      </c>
      <c r="I1" s="4" t="s">
        <v>831</v>
      </c>
      <c r="J1" s="7" t="s">
        <v>835</v>
      </c>
      <c r="K1" s="4" t="s">
        <v>842</v>
      </c>
      <c r="L1" s="4" t="s">
        <v>843</v>
      </c>
    </row>
    <row r="2" spans="1:12" x14ac:dyDescent="0.25">
      <c r="A2" t="s">
        <v>828</v>
      </c>
      <c r="B2" t="s">
        <v>226</v>
      </c>
      <c r="C2" t="s">
        <v>88</v>
      </c>
      <c r="D2" t="s">
        <v>837</v>
      </c>
      <c r="E2" t="s">
        <v>838</v>
      </c>
      <c r="F2" t="s">
        <v>839</v>
      </c>
      <c r="G2" t="s">
        <v>469</v>
      </c>
      <c r="H2">
        <v>99018533</v>
      </c>
      <c r="I2" t="s">
        <v>846</v>
      </c>
      <c r="J2" s="1">
        <v>44280</v>
      </c>
    </row>
    <row r="3" spans="1:12" x14ac:dyDescent="0.25">
      <c r="A3" t="s">
        <v>828</v>
      </c>
      <c r="B3" t="s">
        <v>226</v>
      </c>
      <c r="C3" t="s">
        <v>88</v>
      </c>
      <c r="D3" t="s">
        <v>837</v>
      </c>
      <c r="E3" t="s">
        <v>838</v>
      </c>
      <c r="F3" t="s">
        <v>839</v>
      </c>
      <c r="G3" t="s">
        <v>591</v>
      </c>
      <c r="H3">
        <v>99021622</v>
      </c>
      <c r="I3" t="s">
        <v>846</v>
      </c>
      <c r="J3" s="1">
        <v>44280</v>
      </c>
      <c r="L3">
        <v>10</v>
      </c>
    </row>
    <row r="4" spans="1:12" x14ac:dyDescent="0.25">
      <c r="A4" t="s">
        <v>828</v>
      </c>
      <c r="B4" t="s">
        <v>226</v>
      </c>
      <c r="C4" t="s">
        <v>88</v>
      </c>
      <c r="D4" t="s">
        <v>837</v>
      </c>
      <c r="E4" t="s">
        <v>838</v>
      </c>
      <c r="F4" t="s">
        <v>839</v>
      </c>
      <c r="G4" t="s">
        <v>411</v>
      </c>
      <c r="H4">
        <v>99022204</v>
      </c>
      <c r="I4" t="s">
        <v>846</v>
      </c>
      <c r="J4" s="1">
        <v>44280</v>
      </c>
      <c r="L4">
        <v>30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2"/>
  <sheetViews>
    <sheetView tabSelected="1" workbookViewId="0">
      <selection activeCell="D26" sqref="D26"/>
    </sheetView>
  </sheetViews>
  <sheetFormatPr baseColWidth="10" defaultRowHeight="15" x14ac:dyDescent="0.25"/>
  <cols>
    <col min="1" max="1" width="18.5703125" bestFit="1" customWidth="1"/>
    <col min="2" max="2" width="20.5703125" bestFit="1" customWidth="1"/>
    <col min="3" max="3" width="17.42578125" bestFit="1" customWidth="1"/>
    <col min="4" max="4" width="12" customWidth="1"/>
    <col min="5" max="5" width="22.28515625" bestFit="1" customWidth="1"/>
    <col min="6" max="6" width="12" customWidth="1"/>
  </cols>
  <sheetData>
    <row r="1" spans="1:7" x14ac:dyDescent="0.25">
      <c r="A1" t="s">
        <v>830</v>
      </c>
      <c r="B1" t="s">
        <v>847</v>
      </c>
      <c r="C1" t="s">
        <v>848</v>
      </c>
      <c r="D1" t="s">
        <v>849</v>
      </c>
      <c r="E1" t="s">
        <v>850</v>
      </c>
      <c r="F1" t="s">
        <v>835</v>
      </c>
      <c r="G1" t="s">
        <v>831</v>
      </c>
    </row>
    <row r="2" spans="1:7" x14ac:dyDescent="0.25">
      <c r="A2">
        <v>99021314</v>
      </c>
      <c r="B2" t="s">
        <v>564</v>
      </c>
      <c r="C2" t="s">
        <v>851</v>
      </c>
      <c r="D2" t="s">
        <v>853</v>
      </c>
      <c r="E2" t="s">
        <v>852</v>
      </c>
      <c r="F2" s="1">
        <v>44286</v>
      </c>
      <c r="G2" t="s">
        <v>854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159"/>
  <sheetViews>
    <sheetView workbookViewId="0">
      <selection activeCell="E2" sqref="E2:G159"/>
    </sheetView>
  </sheetViews>
  <sheetFormatPr baseColWidth="10" defaultRowHeight="15" x14ac:dyDescent="0.25"/>
  <cols>
    <col min="1" max="1" width="35" bestFit="1" customWidth="1"/>
    <col min="2" max="2" width="30" bestFit="1" customWidth="1"/>
    <col min="3" max="3" width="3.5703125" customWidth="1"/>
    <col min="4" max="4" width="49.28515625" customWidth="1"/>
    <col min="5" max="5" width="18" bestFit="1" customWidth="1"/>
    <col min="6" max="6" width="25.28515625" bestFit="1" customWidth="1"/>
    <col min="7" max="7" width="46.28515625" customWidth="1"/>
    <col min="8" max="8" width="26.5703125" bestFit="1" customWidth="1"/>
    <col min="9" max="9" width="12.5703125" bestFit="1" customWidth="1"/>
    <col min="10" max="10" width="19.42578125" bestFit="1" customWidth="1"/>
  </cols>
  <sheetData>
    <row r="1" spans="1:10" x14ac:dyDescent="0.25">
      <c r="A1" s="5" t="s">
        <v>823</v>
      </c>
      <c r="B1" s="5" t="s">
        <v>824</v>
      </c>
      <c r="D1" s="5" t="s">
        <v>826</v>
      </c>
      <c r="E1" s="5" t="s">
        <v>827</v>
      </c>
      <c r="F1" s="6" t="s">
        <v>829</v>
      </c>
      <c r="G1" s="6" t="s">
        <v>825</v>
      </c>
      <c r="H1" s="8" t="s">
        <v>825</v>
      </c>
      <c r="I1" s="8" t="s">
        <v>844</v>
      </c>
      <c r="J1" s="8" t="s">
        <v>845</v>
      </c>
    </row>
    <row r="2" spans="1:10" x14ac:dyDescent="0.25">
      <c r="A2" s="2" t="s">
        <v>95</v>
      </c>
      <c r="B2" s="2" t="s">
        <v>96</v>
      </c>
      <c r="D2" s="2" t="s">
        <v>469</v>
      </c>
    </row>
    <row r="3" spans="1:10" x14ac:dyDescent="0.25">
      <c r="A3" s="2" t="s">
        <v>105</v>
      </c>
      <c r="B3" s="2" t="s">
        <v>17</v>
      </c>
      <c r="D3" s="2" t="s">
        <v>479</v>
      </c>
    </row>
    <row r="4" spans="1:10" x14ac:dyDescent="0.25">
      <c r="A4" s="2" t="s">
        <v>242</v>
      </c>
      <c r="B4" s="2" t="s">
        <v>96</v>
      </c>
      <c r="D4" s="2" t="s">
        <v>521</v>
      </c>
    </row>
    <row r="5" spans="1:10" x14ac:dyDescent="0.25">
      <c r="A5" s="2" t="s">
        <v>170</v>
      </c>
      <c r="B5" s="2" t="s">
        <v>151</v>
      </c>
      <c r="D5" s="2" t="s">
        <v>276</v>
      </c>
    </row>
    <row r="6" spans="1:10" x14ac:dyDescent="0.25">
      <c r="A6" s="2" t="s">
        <v>282</v>
      </c>
      <c r="B6" s="2" t="s">
        <v>88</v>
      </c>
      <c r="D6" s="2" t="s">
        <v>280</v>
      </c>
    </row>
    <row r="7" spans="1:10" x14ac:dyDescent="0.25">
      <c r="A7" s="2" t="s">
        <v>155</v>
      </c>
      <c r="B7" s="2" t="s">
        <v>2</v>
      </c>
      <c r="D7" s="2" t="s">
        <v>153</v>
      </c>
    </row>
    <row r="8" spans="1:10" x14ac:dyDescent="0.25">
      <c r="A8" s="2" t="s">
        <v>226</v>
      </c>
      <c r="B8" s="2" t="s">
        <v>232</v>
      </c>
      <c r="D8" s="2" t="s">
        <v>538</v>
      </c>
    </row>
    <row r="9" spans="1:10" x14ac:dyDescent="0.25">
      <c r="A9" s="2" t="s">
        <v>437</v>
      </c>
      <c r="B9" s="2" t="s">
        <v>248</v>
      </c>
      <c r="D9" s="2" t="s">
        <v>435</v>
      </c>
    </row>
    <row r="10" spans="1:10" x14ac:dyDescent="0.25">
      <c r="A10" s="2" t="s">
        <v>87</v>
      </c>
      <c r="B10" s="2" t="s">
        <v>37</v>
      </c>
      <c r="D10" s="2" t="s">
        <v>564</v>
      </c>
    </row>
    <row r="11" spans="1:10" x14ac:dyDescent="0.25">
      <c r="A11" s="2" t="s">
        <v>95</v>
      </c>
      <c r="B11" s="2" t="s">
        <v>133</v>
      </c>
      <c r="D11" s="2" t="s">
        <v>601</v>
      </c>
    </row>
    <row r="12" spans="1:10" x14ac:dyDescent="0.25">
      <c r="A12" s="2" t="s">
        <v>221</v>
      </c>
      <c r="B12" s="2" t="s">
        <v>80</v>
      </c>
      <c r="D12" s="2" t="s">
        <v>428</v>
      </c>
    </row>
    <row r="13" spans="1:10" x14ac:dyDescent="0.25">
      <c r="A13" s="2" t="s">
        <v>231</v>
      </c>
      <c r="B13" s="2" t="s">
        <v>8</v>
      </c>
      <c r="D13" s="2" t="s">
        <v>476</v>
      </c>
    </row>
    <row r="14" spans="1:10" x14ac:dyDescent="0.25">
      <c r="A14" s="2" t="s">
        <v>491</v>
      </c>
      <c r="B14" s="2" t="s">
        <v>41</v>
      </c>
      <c r="D14" s="2" t="s">
        <v>553</v>
      </c>
    </row>
    <row r="15" spans="1:10" x14ac:dyDescent="0.25">
      <c r="A15" s="2" t="s">
        <v>150</v>
      </c>
      <c r="B15" s="2" t="s">
        <v>56</v>
      </c>
      <c r="D15" s="2" t="s">
        <v>527</v>
      </c>
    </row>
    <row r="16" spans="1:10" x14ac:dyDescent="0.25">
      <c r="A16" s="2" t="s">
        <v>247</v>
      </c>
      <c r="D16" s="2" t="s">
        <v>455</v>
      </c>
    </row>
    <row r="17" spans="1:4" x14ac:dyDescent="0.25">
      <c r="A17" s="2" t="s">
        <v>132</v>
      </c>
      <c r="D17" s="2" t="s">
        <v>524</v>
      </c>
    </row>
    <row r="18" spans="1:4" x14ac:dyDescent="0.25">
      <c r="A18" s="2" t="s">
        <v>209</v>
      </c>
      <c r="D18" s="2" t="s">
        <v>473</v>
      </c>
    </row>
    <row r="19" spans="1:4" x14ac:dyDescent="0.25">
      <c r="A19" s="2" t="s">
        <v>261</v>
      </c>
      <c r="D19" s="2" t="s">
        <v>359</v>
      </c>
    </row>
    <row r="20" spans="1:4" x14ac:dyDescent="0.25">
      <c r="A20" s="2" t="s">
        <v>143</v>
      </c>
      <c r="D20" s="2" t="s">
        <v>586</v>
      </c>
    </row>
    <row r="21" spans="1:4" x14ac:dyDescent="0.25">
      <c r="A21" s="2" t="s">
        <v>180</v>
      </c>
      <c r="D21" s="2" t="s">
        <v>85</v>
      </c>
    </row>
    <row r="22" spans="1:4" x14ac:dyDescent="0.25">
      <c r="A22" s="2" t="s">
        <v>291</v>
      </c>
      <c r="D22" s="2" t="s">
        <v>465</v>
      </c>
    </row>
    <row r="23" spans="1:4" x14ac:dyDescent="0.25">
      <c r="A23" s="2" t="s">
        <v>79</v>
      </c>
      <c r="D23" s="2" t="s">
        <v>305</v>
      </c>
    </row>
    <row r="24" spans="1:4" x14ac:dyDescent="0.25">
      <c r="A24" s="2" t="s">
        <v>287</v>
      </c>
      <c r="D24" s="2" t="s">
        <v>541</v>
      </c>
    </row>
    <row r="25" spans="1:4" x14ac:dyDescent="0.25">
      <c r="A25" s="2" t="s">
        <v>125</v>
      </c>
      <c r="D25" s="2" t="s">
        <v>417</v>
      </c>
    </row>
    <row r="26" spans="1:4" x14ac:dyDescent="0.25">
      <c r="A26" s="2" t="s">
        <v>138</v>
      </c>
      <c r="D26" s="2" t="s">
        <v>501</v>
      </c>
    </row>
    <row r="27" spans="1:4" x14ac:dyDescent="0.25">
      <c r="A27" s="2" t="s">
        <v>548</v>
      </c>
      <c r="D27" s="2" t="s">
        <v>264</v>
      </c>
    </row>
    <row r="28" spans="1:4" x14ac:dyDescent="0.25">
      <c r="A28" s="2" t="s">
        <v>446</v>
      </c>
      <c r="D28" s="2" t="s">
        <v>208</v>
      </c>
    </row>
    <row r="29" spans="1:4" x14ac:dyDescent="0.25">
      <c r="A29" s="2" t="s">
        <v>340</v>
      </c>
      <c r="D29" s="2" t="s">
        <v>328</v>
      </c>
    </row>
    <row r="30" spans="1:4" x14ac:dyDescent="0.25">
      <c r="A30" s="2" t="s">
        <v>100</v>
      </c>
      <c r="D30" s="2" t="s">
        <v>240</v>
      </c>
    </row>
    <row r="31" spans="1:4" x14ac:dyDescent="0.25">
      <c r="A31" s="2" t="s">
        <v>175</v>
      </c>
      <c r="D31" s="2" t="s">
        <v>268</v>
      </c>
    </row>
    <row r="32" spans="1:4" x14ac:dyDescent="0.25">
      <c r="A32" s="2" t="s">
        <v>462</v>
      </c>
      <c r="D32" s="2" t="s">
        <v>260</v>
      </c>
    </row>
    <row r="33" spans="1:4" x14ac:dyDescent="0.25">
      <c r="A33" s="2" t="s">
        <v>377</v>
      </c>
      <c r="D33" s="2" t="s">
        <v>235</v>
      </c>
    </row>
    <row r="34" spans="1:4" x14ac:dyDescent="0.25">
      <c r="D34" s="2" t="s">
        <v>591</v>
      </c>
    </row>
    <row r="35" spans="1:4" x14ac:dyDescent="0.25">
      <c r="D35" s="2" t="s">
        <v>272</v>
      </c>
    </row>
    <row r="36" spans="1:4" x14ac:dyDescent="0.25">
      <c r="D36" s="2" t="s">
        <v>161</v>
      </c>
    </row>
    <row r="37" spans="1:4" x14ac:dyDescent="0.25">
      <c r="D37" s="2" t="s">
        <v>380</v>
      </c>
    </row>
    <row r="38" spans="1:4" x14ac:dyDescent="0.25">
      <c r="D38" s="2" t="s">
        <v>388</v>
      </c>
    </row>
    <row r="39" spans="1:4" x14ac:dyDescent="0.25">
      <c r="D39" s="2" t="s">
        <v>431</v>
      </c>
    </row>
    <row r="40" spans="1:4" x14ac:dyDescent="0.25">
      <c r="D40" s="2" t="s">
        <v>149</v>
      </c>
    </row>
    <row r="41" spans="1:4" x14ac:dyDescent="0.25">
      <c r="D41" s="2" t="s">
        <v>91</v>
      </c>
    </row>
    <row r="42" spans="1:4" x14ac:dyDescent="0.25">
      <c r="D42" s="2" t="s">
        <v>319</v>
      </c>
    </row>
    <row r="43" spans="1:4" x14ac:dyDescent="0.25">
      <c r="D43" s="2" t="s">
        <v>535</v>
      </c>
    </row>
    <row r="44" spans="1:4" x14ac:dyDescent="0.25">
      <c r="D44" s="2" t="s">
        <v>382</v>
      </c>
    </row>
    <row r="45" spans="1:4" x14ac:dyDescent="0.25">
      <c r="D45" s="2" t="s">
        <v>317</v>
      </c>
    </row>
    <row r="46" spans="1:4" x14ac:dyDescent="0.25">
      <c r="D46" s="2" t="s">
        <v>401</v>
      </c>
    </row>
    <row r="47" spans="1:4" x14ac:dyDescent="0.25">
      <c r="D47" s="2" t="s">
        <v>178</v>
      </c>
    </row>
    <row r="48" spans="1:4" x14ac:dyDescent="0.25">
      <c r="D48" s="2" t="s">
        <v>489</v>
      </c>
    </row>
    <row r="49" spans="4:4" x14ac:dyDescent="0.25">
      <c r="D49" s="2" t="s">
        <v>481</v>
      </c>
    </row>
    <row r="50" spans="4:4" x14ac:dyDescent="0.25">
      <c r="D50" s="2" t="s">
        <v>229</v>
      </c>
    </row>
    <row r="51" spans="4:4" x14ac:dyDescent="0.25">
      <c r="D51" s="2" t="s">
        <v>301</v>
      </c>
    </row>
    <row r="52" spans="4:4" x14ac:dyDescent="0.25">
      <c r="D52" s="2" t="s">
        <v>583</v>
      </c>
    </row>
    <row r="53" spans="4:4" x14ac:dyDescent="0.25">
      <c r="D53" s="2" t="s">
        <v>83</v>
      </c>
    </row>
    <row r="54" spans="4:4" x14ac:dyDescent="0.25">
      <c r="D54" s="2" t="s">
        <v>42</v>
      </c>
    </row>
    <row r="55" spans="4:4" x14ac:dyDescent="0.25">
      <c r="D55" s="2" t="s">
        <v>411</v>
      </c>
    </row>
    <row r="56" spans="4:4" x14ac:dyDescent="0.25">
      <c r="D56" s="2" t="s">
        <v>594</v>
      </c>
    </row>
    <row r="57" spans="4:4" x14ac:dyDescent="0.25">
      <c r="D57" s="2" t="s">
        <v>509</v>
      </c>
    </row>
    <row r="58" spans="4:4" x14ac:dyDescent="0.25">
      <c r="D58" s="2" t="s">
        <v>217</v>
      </c>
    </row>
    <row r="59" spans="4:4" x14ac:dyDescent="0.25">
      <c r="D59" s="2" t="s">
        <v>580</v>
      </c>
    </row>
    <row r="60" spans="4:4" x14ac:dyDescent="0.25">
      <c r="D60" s="2" t="s">
        <v>214</v>
      </c>
    </row>
    <row r="61" spans="4:4" x14ac:dyDescent="0.25">
      <c r="D61" s="2" t="s">
        <v>251</v>
      </c>
    </row>
    <row r="62" spans="4:4" x14ac:dyDescent="0.25">
      <c r="D62" s="2" t="s">
        <v>357</v>
      </c>
    </row>
    <row r="63" spans="4:4" x14ac:dyDescent="0.25">
      <c r="D63" s="2" t="s">
        <v>505</v>
      </c>
    </row>
    <row r="64" spans="4:4" x14ac:dyDescent="0.25">
      <c r="D64" s="2" t="s">
        <v>285</v>
      </c>
    </row>
    <row r="65" spans="4:4" x14ac:dyDescent="0.25">
      <c r="D65" s="2" t="s">
        <v>145</v>
      </c>
    </row>
    <row r="66" spans="4:4" x14ac:dyDescent="0.25">
      <c r="D66" s="2" t="s">
        <v>421</v>
      </c>
    </row>
    <row r="67" spans="4:4" x14ac:dyDescent="0.25">
      <c r="D67" s="2" t="s">
        <v>342</v>
      </c>
    </row>
    <row r="68" spans="4:4" x14ac:dyDescent="0.25">
      <c r="D68" s="2" t="s">
        <v>351</v>
      </c>
    </row>
    <row r="69" spans="4:4" x14ac:dyDescent="0.25">
      <c r="D69" s="2" t="s">
        <v>546</v>
      </c>
    </row>
    <row r="70" spans="4:4" x14ac:dyDescent="0.25">
      <c r="D70" s="2" t="s">
        <v>128</v>
      </c>
    </row>
    <row r="71" spans="4:4" x14ac:dyDescent="0.25">
      <c r="D71" s="2" t="s">
        <v>440</v>
      </c>
    </row>
    <row r="72" spans="4:4" x14ac:dyDescent="0.25">
      <c r="D72" s="2" t="s">
        <v>334</v>
      </c>
    </row>
    <row r="73" spans="4:4" x14ac:dyDescent="0.25">
      <c r="D73" s="2" t="s">
        <v>168</v>
      </c>
    </row>
    <row r="74" spans="4:4" x14ac:dyDescent="0.25">
      <c r="D74" s="2" t="s">
        <v>444</v>
      </c>
    </row>
    <row r="75" spans="4:4" x14ac:dyDescent="0.25">
      <c r="D75" s="2" t="s">
        <v>297</v>
      </c>
    </row>
    <row r="76" spans="4:4" x14ac:dyDescent="0.25">
      <c r="D76" s="2" t="s">
        <v>245</v>
      </c>
    </row>
    <row r="77" spans="4:4" x14ac:dyDescent="0.25">
      <c r="D77" s="2" t="s">
        <v>111</v>
      </c>
    </row>
    <row r="78" spans="4:4" x14ac:dyDescent="0.25">
      <c r="D78" s="2" t="s">
        <v>543</v>
      </c>
    </row>
    <row r="79" spans="4:4" x14ac:dyDescent="0.25">
      <c r="D79" s="2" t="s">
        <v>573</v>
      </c>
    </row>
    <row r="80" spans="4:4" x14ac:dyDescent="0.25">
      <c r="D80" s="2" t="s">
        <v>348</v>
      </c>
    </row>
    <row r="81" spans="4:4" x14ac:dyDescent="0.25">
      <c r="D81" s="2" t="s">
        <v>449</v>
      </c>
    </row>
    <row r="82" spans="4:4" x14ac:dyDescent="0.25">
      <c r="D82" s="2" t="s">
        <v>338</v>
      </c>
    </row>
    <row r="83" spans="4:4" x14ac:dyDescent="0.25">
      <c r="D83" s="2" t="s">
        <v>570</v>
      </c>
    </row>
    <row r="84" spans="4:4" x14ac:dyDescent="0.25">
      <c r="D84" s="2" t="s">
        <v>107</v>
      </c>
    </row>
    <row r="85" spans="4:4" x14ac:dyDescent="0.25">
      <c r="D85" s="2" t="s">
        <v>121</v>
      </c>
    </row>
    <row r="86" spans="4:4" x14ac:dyDescent="0.25">
      <c r="D86" s="2" t="s">
        <v>597</v>
      </c>
    </row>
    <row r="87" spans="4:4" x14ac:dyDescent="0.25">
      <c r="D87" s="2" t="s">
        <v>385</v>
      </c>
    </row>
    <row r="88" spans="4:4" x14ac:dyDescent="0.25">
      <c r="D88" s="2" t="s">
        <v>567</v>
      </c>
    </row>
    <row r="89" spans="4:4" x14ac:dyDescent="0.25">
      <c r="D89" s="2" t="s">
        <v>254</v>
      </c>
    </row>
    <row r="90" spans="4:4" x14ac:dyDescent="0.25">
      <c r="D90" s="2" t="s">
        <v>513</v>
      </c>
    </row>
    <row r="91" spans="4:4" x14ac:dyDescent="0.25">
      <c r="D91" s="2" t="s">
        <v>123</v>
      </c>
    </row>
    <row r="92" spans="4:4" x14ac:dyDescent="0.25">
      <c r="D92" s="2" t="s">
        <v>131</v>
      </c>
    </row>
    <row r="93" spans="4:4" x14ac:dyDescent="0.25">
      <c r="D93" s="2" t="s">
        <v>498</v>
      </c>
    </row>
    <row r="94" spans="4:4" x14ac:dyDescent="0.25">
      <c r="D94" s="2" t="s">
        <v>203</v>
      </c>
    </row>
    <row r="95" spans="4:4" x14ac:dyDescent="0.25">
      <c r="D95" s="2" t="s">
        <v>425</v>
      </c>
    </row>
    <row r="96" spans="4:4" x14ac:dyDescent="0.25">
      <c r="D96" s="2" t="s">
        <v>314</v>
      </c>
    </row>
    <row r="97" spans="4:4" x14ac:dyDescent="0.25">
      <c r="D97" s="2" t="s">
        <v>224</v>
      </c>
    </row>
    <row r="98" spans="4:4" x14ac:dyDescent="0.25">
      <c r="D98" s="2" t="s">
        <v>494</v>
      </c>
    </row>
    <row r="99" spans="4:4" x14ac:dyDescent="0.25">
      <c r="D99" s="2" t="s">
        <v>173</v>
      </c>
    </row>
    <row r="100" spans="4:4" x14ac:dyDescent="0.25">
      <c r="D100" s="2" t="s">
        <v>589</v>
      </c>
    </row>
    <row r="101" spans="4:4" x14ac:dyDescent="0.25">
      <c r="D101" s="2" t="s">
        <v>369</v>
      </c>
    </row>
    <row r="102" spans="4:4" x14ac:dyDescent="0.25">
      <c r="D102" s="2" t="s">
        <v>363</v>
      </c>
    </row>
    <row r="103" spans="4:4" x14ac:dyDescent="0.25">
      <c r="D103" s="2" t="s">
        <v>205</v>
      </c>
    </row>
    <row r="104" spans="4:4" x14ac:dyDescent="0.25">
      <c r="D104" s="2" t="s">
        <v>561</v>
      </c>
    </row>
    <row r="105" spans="4:4" x14ac:dyDescent="0.25">
      <c r="D105" s="2" t="s">
        <v>354</v>
      </c>
    </row>
    <row r="106" spans="4:4" x14ac:dyDescent="0.25">
      <c r="D106" s="2" t="s">
        <v>371</v>
      </c>
    </row>
    <row r="107" spans="4:4" x14ac:dyDescent="0.25">
      <c r="D107" s="2" t="s">
        <v>219</v>
      </c>
    </row>
    <row r="108" spans="4:4" x14ac:dyDescent="0.25">
      <c r="D108" s="2" t="s">
        <v>309</v>
      </c>
    </row>
    <row r="109" spans="4:4" x14ac:dyDescent="0.25">
      <c r="D109" s="2" t="s">
        <v>99</v>
      </c>
    </row>
    <row r="110" spans="4:4" x14ac:dyDescent="0.25">
      <c r="D110" s="2" t="s">
        <v>212</v>
      </c>
    </row>
    <row r="111" spans="4:4" x14ac:dyDescent="0.25">
      <c r="D111" s="2" t="s">
        <v>405</v>
      </c>
    </row>
    <row r="112" spans="4:4" x14ac:dyDescent="0.25">
      <c r="D112" s="2" t="s">
        <v>312</v>
      </c>
    </row>
    <row r="113" spans="4:4" x14ac:dyDescent="0.25">
      <c r="D113" s="2" t="s">
        <v>532</v>
      </c>
    </row>
    <row r="114" spans="4:4" x14ac:dyDescent="0.25">
      <c r="D114" s="2" t="s">
        <v>238</v>
      </c>
    </row>
    <row r="115" spans="4:4" x14ac:dyDescent="0.25">
      <c r="D115" s="2" t="s">
        <v>519</v>
      </c>
    </row>
    <row r="116" spans="4:4" x14ac:dyDescent="0.25">
      <c r="D116" s="2" t="s">
        <v>395</v>
      </c>
    </row>
    <row r="117" spans="4:4" x14ac:dyDescent="0.25">
      <c r="D117" s="2" t="s">
        <v>200</v>
      </c>
    </row>
    <row r="118" spans="4:4" x14ac:dyDescent="0.25">
      <c r="D118" s="2" t="s">
        <v>452</v>
      </c>
    </row>
    <row r="119" spans="4:4" x14ac:dyDescent="0.25">
      <c r="D119" s="2" t="s">
        <v>485</v>
      </c>
    </row>
    <row r="120" spans="4:4" x14ac:dyDescent="0.25">
      <c r="D120" s="2" t="s">
        <v>398</v>
      </c>
    </row>
    <row r="121" spans="4:4" x14ac:dyDescent="0.25">
      <c r="D121" s="2" t="s">
        <v>392</v>
      </c>
    </row>
    <row r="122" spans="4:4" x14ac:dyDescent="0.25">
      <c r="D122" s="2" t="s">
        <v>366</v>
      </c>
    </row>
    <row r="123" spans="4:4" x14ac:dyDescent="0.25">
      <c r="D123" s="2" t="s">
        <v>555</v>
      </c>
    </row>
    <row r="124" spans="4:4" x14ac:dyDescent="0.25">
      <c r="D124" s="2" t="s">
        <v>78</v>
      </c>
    </row>
    <row r="125" spans="4:4" x14ac:dyDescent="0.25">
      <c r="D125" s="2" t="s">
        <v>345</v>
      </c>
    </row>
    <row r="126" spans="4:4" x14ac:dyDescent="0.25">
      <c r="D126" s="2" t="s">
        <v>141</v>
      </c>
    </row>
    <row r="127" spans="4:4" x14ac:dyDescent="0.25">
      <c r="D127" s="2" t="s">
        <v>185</v>
      </c>
    </row>
    <row r="128" spans="4:4" x14ac:dyDescent="0.25">
      <c r="D128" s="2" t="s">
        <v>487</v>
      </c>
    </row>
    <row r="129" spans="4:4" x14ac:dyDescent="0.25">
      <c r="D129" s="2" t="s">
        <v>157</v>
      </c>
    </row>
    <row r="130" spans="4:4" x14ac:dyDescent="0.25">
      <c r="D130" s="2" t="s">
        <v>93</v>
      </c>
    </row>
    <row r="131" spans="4:4" x14ac:dyDescent="0.25">
      <c r="D131" s="2" t="s">
        <v>118</v>
      </c>
    </row>
    <row r="132" spans="4:4" x14ac:dyDescent="0.25">
      <c r="D132" s="2" t="s">
        <v>530</v>
      </c>
    </row>
    <row r="133" spans="4:4" x14ac:dyDescent="0.25">
      <c r="D133" s="2" t="s">
        <v>575</v>
      </c>
    </row>
    <row r="134" spans="4:4" x14ac:dyDescent="0.25">
      <c r="D134" s="2" t="s">
        <v>599</v>
      </c>
    </row>
    <row r="135" spans="4:4" x14ac:dyDescent="0.25">
      <c r="D135" s="2" t="s">
        <v>408</v>
      </c>
    </row>
    <row r="136" spans="4:4" x14ac:dyDescent="0.25">
      <c r="D136" s="2" t="s">
        <v>115</v>
      </c>
    </row>
    <row r="137" spans="4:4" x14ac:dyDescent="0.25">
      <c r="D137" s="2" t="s">
        <v>294</v>
      </c>
    </row>
    <row r="138" spans="4:4" x14ac:dyDescent="0.25">
      <c r="D138" s="2" t="s">
        <v>332</v>
      </c>
    </row>
    <row r="139" spans="4:4" x14ac:dyDescent="0.25">
      <c r="D139" s="2" t="s">
        <v>103</v>
      </c>
    </row>
    <row r="140" spans="4:4" x14ac:dyDescent="0.25">
      <c r="D140" s="2" t="s">
        <v>258</v>
      </c>
    </row>
    <row r="141" spans="4:4" x14ac:dyDescent="0.25">
      <c r="D141" s="2" t="s">
        <v>165</v>
      </c>
    </row>
    <row r="142" spans="4:4" x14ac:dyDescent="0.25">
      <c r="D142" s="2" t="s">
        <v>558</v>
      </c>
    </row>
    <row r="143" spans="4:4" x14ac:dyDescent="0.25">
      <c r="D143" s="2" t="s">
        <v>197</v>
      </c>
    </row>
    <row r="144" spans="4:4" x14ac:dyDescent="0.25">
      <c r="D144" s="2" t="s">
        <v>325</v>
      </c>
    </row>
    <row r="145" spans="4:4" x14ac:dyDescent="0.25">
      <c r="D145" s="2" t="s">
        <v>460</v>
      </c>
    </row>
    <row r="146" spans="4:4" x14ac:dyDescent="0.25">
      <c r="D146" s="2" t="s">
        <v>321</v>
      </c>
    </row>
    <row r="147" spans="4:4" x14ac:dyDescent="0.25">
      <c r="D147" s="2" t="s">
        <v>413</v>
      </c>
    </row>
    <row r="148" spans="4:4" x14ac:dyDescent="0.25">
      <c r="D148" s="2" t="s">
        <v>605</v>
      </c>
    </row>
    <row r="149" spans="4:4" x14ac:dyDescent="0.25">
      <c r="D149" s="2" t="s">
        <v>516</v>
      </c>
    </row>
    <row r="150" spans="4:4" x14ac:dyDescent="0.25">
      <c r="D150" s="2" t="s">
        <v>551</v>
      </c>
    </row>
    <row r="151" spans="4:4" x14ac:dyDescent="0.25">
      <c r="D151" s="2" t="s">
        <v>375</v>
      </c>
    </row>
    <row r="152" spans="4:4" x14ac:dyDescent="0.25">
      <c r="D152" s="2" t="s">
        <v>188</v>
      </c>
    </row>
    <row r="153" spans="4:4" x14ac:dyDescent="0.25">
      <c r="D153" s="2" t="s">
        <v>194</v>
      </c>
    </row>
    <row r="154" spans="4:4" x14ac:dyDescent="0.25">
      <c r="D154" s="2" t="s">
        <v>457</v>
      </c>
    </row>
    <row r="155" spans="4:4" x14ac:dyDescent="0.25">
      <c r="D155" s="2" t="s">
        <v>182</v>
      </c>
    </row>
    <row r="156" spans="4:4" x14ac:dyDescent="0.25">
      <c r="D156" s="2" t="s">
        <v>577</v>
      </c>
    </row>
    <row r="157" spans="4:4" x14ac:dyDescent="0.25">
      <c r="D157" s="2" t="s">
        <v>191</v>
      </c>
    </row>
    <row r="158" spans="4:4" x14ac:dyDescent="0.25">
      <c r="D158" s="2" t="s">
        <v>136</v>
      </c>
    </row>
    <row r="159" spans="4:4" x14ac:dyDescent="0.25">
      <c r="D159" s="2" t="s">
        <v>609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9"/>
  <sheetViews>
    <sheetView workbookViewId="0">
      <selection activeCell="C12" sqref="C12"/>
    </sheetView>
  </sheetViews>
  <sheetFormatPr baseColWidth="10" defaultRowHeight="15" x14ac:dyDescent="0.25"/>
  <cols>
    <col min="1" max="1" width="20.42578125" bestFit="1" customWidth="1"/>
    <col min="2" max="2" width="11.85546875" bestFit="1" customWidth="1"/>
  </cols>
  <sheetData>
    <row r="1" spans="1:2" x14ac:dyDescent="0.25">
      <c r="A1" t="s">
        <v>0</v>
      </c>
      <c r="B1" t="s">
        <v>821</v>
      </c>
    </row>
    <row r="2" spans="1:2" x14ac:dyDescent="0.25">
      <c r="A2" t="s">
        <v>822</v>
      </c>
      <c r="B2">
        <v>2</v>
      </c>
    </row>
    <row r="3" spans="1:2" x14ac:dyDescent="0.25">
      <c r="A3" t="s">
        <v>832</v>
      </c>
    </row>
    <row r="4" spans="1:2" x14ac:dyDescent="0.25">
      <c r="A4" t="s">
        <v>833</v>
      </c>
    </row>
    <row r="5" spans="1:2" x14ac:dyDescent="0.25">
      <c r="A5" t="s">
        <v>834</v>
      </c>
      <c r="B5" s="1">
        <f ca="1">TODAY()</f>
        <v>44291</v>
      </c>
    </row>
    <row r="6" spans="1:2" x14ac:dyDescent="0.25">
      <c r="A6" t="s">
        <v>836</v>
      </c>
    </row>
    <row r="7" spans="1:2" x14ac:dyDescent="0.25">
      <c r="A7" t="s">
        <v>840</v>
      </c>
      <c r="B7" s="1">
        <v>44284</v>
      </c>
    </row>
    <row r="8" spans="1:2" x14ac:dyDescent="0.25">
      <c r="A8" t="s">
        <v>841</v>
      </c>
      <c r="B8" s="1">
        <f>B7+150</f>
        <v>44434</v>
      </c>
    </row>
    <row r="9" spans="1:2" x14ac:dyDescent="0.25">
      <c r="A9" t="s">
        <v>822</v>
      </c>
      <c r="B9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76E209-D357-48A7-869A-404C4DCE09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Supervisión</vt:lpstr>
      <vt:lpstr>Puestos</vt:lpstr>
      <vt:lpstr>Base RH linea</vt:lpstr>
      <vt:lpstr>Capcitaciones</vt:lpstr>
      <vt:lpstr>Eventos Diciplinarios</vt:lpstr>
      <vt:lpstr>Listas</vt:lpstr>
      <vt:lpstr>Información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2021-04-06T02:24:42Z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