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-120" yWindow="-120" windowWidth="20730" windowHeight="11160"/>
  </bookViews>
  <sheets>
    <sheet name="Facturas Demex" sheetId="1" r:id="rId1"/>
    <sheet name="Cliente" sheetId="2" state="veryHidden" r:id="rId2"/>
    <sheet name="Facturas" sheetId="3" state="veryHidden" r:id="rId3"/>
    <sheet name="Bitacora de pagos" sheetId="6" state="veryHidden" r:id="rId4"/>
    <sheet name="Reporte de errores" sheetId="7" state="veryHidden" r:id="rId5"/>
    <sheet name="Factura consecutiva" sheetId="5" state="veryHidden" r:id="rId6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5" l="1"/>
  <c r="B5" i="5" l="1"/>
  <c r="B6" i="5"/>
</calcChain>
</file>

<file path=xl/sharedStrings.xml><?xml version="1.0" encoding="utf-8"?>
<sst xmlns="http://schemas.openxmlformats.org/spreadsheetml/2006/main" count="68" uniqueCount="41">
  <si>
    <t>Nombre del Cliente</t>
  </si>
  <si>
    <t>Cédula</t>
  </si>
  <si>
    <t>Fecha</t>
  </si>
  <si>
    <t>Factura</t>
  </si>
  <si>
    <t>Monto</t>
  </si>
  <si>
    <t>Detalle</t>
  </si>
  <si>
    <t>Estado</t>
  </si>
  <si>
    <t>Telefono personal</t>
  </si>
  <si>
    <t>Telefono Empresa</t>
  </si>
  <si>
    <t>Cédula juridica</t>
  </si>
  <si>
    <t>Locación</t>
  </si>
  <si>
    <t>Empresa</t>
  </si>
  <si>
    <t>Consecutivo</t>
  </si>
  <si>
    <t>Fecha Actual</t>
  </si>
  <si>
    <t>Tocar</t>
  </si>
  <si>
    <t>Lugar de error</t>
  </si>
  <si>
    <t>Error</t>
  </si>
  <si>
    <t>Articulo</t>
  </si>
  <si>
    <t>Año en fecha</t>
  </si>
  <si>
    <t>Fecha en estudio</t>
  </si>
  <si>
    <t xml:space="preserve">Mes en fecha </t>
  </si>
  <si>
    <t>Cantidad</t>
  </si>
  <si>
    <t>Monto Total</t>
  </si>
  <si>
    <t>Monto Unitario</t>
  </si>
  <si>
    <t>Abonado</t>
  </si>
  <si>
    <t>Saldo</t>
  </si>
  <si>
    <t>xinnia qhhhhh</t>
  </si>
  <si>
    <t>puntarenas</t>
  </si>
  <si>
    <t>ppas</t>
  </si>
  <si>
    <t>paas</t>
  </si>
  <si>
    <t>Pendiente</t>
  </si>
  <si>
    <t>13/1/2021</t>
  </si>
  <si>
    <t>awdawd</t>
  </si>
  <si>
    <t>carros</t>
  </si>
  <si>
    <t>14/1/2021</t>
  </si>
  <si>
    <t>Aviones</t>
  </si>
  <si>
    <t>Cancelado</t>
  </si>
  <si>
    <t>casas</t>
  </si>
  <si>
    <t>27/1/2021</t>
  </si>
  <si>
    <t>hoteles</t>
  </si>
  <si>
    <t>aviones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</si>
</sst>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49" fontId="0" fillId="0" borderId="0" xfId="0" applyNumberFormat="1" applyAlignment="1">
      <alignment horizontal="right" vertical="center"/>
    </xf>
    <xf numFmtId="0" fontId="0" fillId="0" borderId="0" xfId="0" applyNumberFormat="1"/>
    <xf numFmtId="14" fontId="0" fillId="0" borderId="0" xfId="0" applyNumberFormat="1"/>
    <xf numFmtId="0" fontId="0" fillId="2" borderId="0" xfId="0" applyFill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1</xdr:row>
          <xdr:rowOff>9525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"/>
  <sheetViews>
    <sheetView tabSelected="1" workbookViewId="0">
      <selection activeCell="G13" sqref="G13"/>
    </sheetView>
  </sheetViews>
  <sheetFormatPr baseColWidth="10" defaultColWidth="9.140625" defaultRowHeight="15" x14ac:dyDescent="0.25"/>
  <sheetData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0</xdr:col>
                <xdr:colOff>600075</xdr:colOff>
                <xdr:row>1</xdr:row>
                <xdr:rowOff>9525</xdr:rowOff>
              </from>
              <to>
                <xdr:col>4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G3"/>
  <sheetViews>
    <sheetView workbookViewId="0">
      <selection activeCell="E14" sqref="E14"/>
    </sheetView>
  </sheetViews>
  <sheetFormatPr baseColWidth="10" defaultRowHeight="15" x14ac:dyDescent="0.25"/>
  <cols>
    <col min="1" max="1" width="18.5703125" bestFit="1" customWidth="1"/>
    <col min="4" max="4" width="17.28515625" bestFit="1" customWidth="1"/>
    <col min="5" max="5" width="17.140625" bestFit="1" customWidth="1"/>
    <col min="6" max="6" width="14.140625" bestFit="1" customWidth="1"/>
  </cols>
  <sheetData>
    <row r="1" spans="1:7" x14ac:dyDescent="0.25">
      <c r="A1" t="s">
        <v>0</v>
      </c>
      <c r="B1" t="s">
        <v>1</v>
      </c>
      <c r="C1" t="s">
        <v>10</v>
      </c>
      <c r="D1" t="s">
        <v>7</v>
      </c>
      <c r="E1" t="s">
        <v>8</v>
      </c>
      <c r="F1" t="s">
        <v>9</v>
      </c>
      <c r="G1" t="s">
        <v>11</v>
      </c>
    </row>
    <row r="2" spans="1:7" x14ac:dyDescent="0.25">
      <c r="A2" t="s">
        <v>26</v>
      </c>
      <c r="B2">
        <v>17600698</v>
      </c>
      <c r="C2" t="s">
        <v>27</v>
      </c>
      <c r="D2">
        <v>111111</v>
      </c>
      <c r="E2">
        <v>55555</v>
      </c>
      <c r="G2" t="s">
        <v>28</v>
      </c>
    </row>
    <row r="3" spans="1:7" x14ac:dyDescent="0.25">
      <c r="A3" t="s">
        <v>32</v>
      </c>
      <c r="B3">
        <v>780848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Q16"/>
  <sheetViews>
    <sheetView topLeftCell="B1" workbookViewId="0">
      <selection activeCell="E25" sqref="E25"/>
    </sheetView>
  </sheetViews>
  <sheetFormatPr baseColWidth="10" defaultRowHeight="15" x14ac:dyDescent="0.25"/>
  <cols>
    <col min="1" max="1" width="31.7109375" bestFit="1" customWidth="1"/>
    <col min="4" max="4" width="11.42578125" style="5"/>
    <col min="5" max="5" width="14.42578125" bestFit="1" customWidth="1"/>
    <col min="6" max="6" width="16.5703125" bestFit="1" customWidth="1"/>
    <col min="12" max="12" width="12.7109375" bestFit="1" customWidth="1"/>
  </cols>
  <sheetData>
    <row r="1" spans="1:17" x14ac:dyDescent="0.25">
      <c r="A1" t="s">
        <v>0</v>
      </c>
      <c r="B1" t="s">
        <v>1</v>
      </c>
      <c r="C1" t="s">
        <v>2</v>
      </c>
      <c r="D1" s="1" t="s">
        <v>3</v>
      </c>
      <c r="E1" t="s">
        <v>23</v>
      </c>
      <c r="F1" t="s">
        <v>5</v>
      </c>
      <c r="G1" t="s">
        <v>21</v>
      </c>
      <c r="H1" t="s">
        <v>10</v>
      </c>
      <c r="I1" t="s">
        <v>7</v>
      </c>
      <c r="J1" t="s">
        <v>8</v>
      </c>
      <c r="K1" t="s">
        <v>9</v>
      </c>
      <c r="L1" t="s">
        <v>11</v>
      </c>
      <c r="M1" t="s">
        <v>17</v>
      </c>
      <c r="N1" t="s">
        <v>22</v>
      </c>
      <c r="O1" t="s">
        <v>6</v>
      </c>
      <c r="P1" t="s">
        <v>24</v>
      </c>
      <c r="Q1" t="s">
        <v>25</v>
      </c>
    </row>
    <row r="2" spans="1:17" x14ac:dyDescent="0.25">
      <c r="A2" t="s">
        <v>26</v>
      </c>
      <c r="B2">
        <v>17600698</v>
      </c>
      <c r="C2" t="s">
        <v>31</v>
      </c>
      <c r="D2">
        <v>221</v>
      </c>
      <c r="E2">
        <v>100</v>
      </c>
      <c r="F2" t="s">
        <v>29</v>
      </c>
      <c r="G2">
        <v>10</v>
      </c>
      <c r="H2" t="s">
        <v>27</v>
      </c>
      <c r="I2">
        <v>111111</v>
      </c>
      <c r="J2">
        <v>55555</v>
      </c>
      <c r="L2" t="s">
        <v>28</v>
      </c>
      <c r="M2">
        <v>1</v>
      </c>
      <c r="N2">
        <v>1000</v>
      </c>
      <c r="O2" t="s">
        <v>30</v>
      </c>
      <c r="P2">
        <v>0</v>
      </c>
      <c r="Q2">
        <v>1000</v>
      </c>
    </row>
    <row r="3" spans="1:17" x14ac:dyDescent="0.25">
      <c r="A3" t="s">
        <v>32</v>
      </c>
      <c r="B3">
        <v>780848</v>
      </c>
      <c r="C3" t="s">
        <v>34</v>
      </c>
      <c r="D3">
        <v>123</v>
      </c>
      <c r="E3">
        <v>10000</v>
      </c>
      <c r="F3" t="s">
        <v>33</v>
      </c>
      <c r="G3">
        <v>1</v>
      </c>
      <c r="M3">
        <v>1</v>
      </c>
      <c r="N3">
        <v>10000</v>
      </c>
      <c r="O3" t="s">
        <v>30</v>
      </c>
      <c r="P3">
        <v>2000</v>
      </c>
      <c r="Q3">
        <v>8000</v>
      </c>
    </row>
    <row r="4" spans="1:17" x14ac:dyDescent="0.25">
      <c r="A4" t="s">
        <v>32</v>
      </c>
      <c r="B4">
        <v>780848</v>
      </c>
      <c r="C4" t="s">
        <v>34</v>
      </c>
      <c r="D4">
        <v>545</v>
      </c>
      <c r="E4">
        <v>15026</v>
      </c>
      <c r="F4" t="s">
        <v>35</v>
      </c>
      <c r="G4">
        <v>10</v>
      </c>
      <c r="M4">
        <v>1</v>
      </c>
      <c r="N4">
        <v>150260</v>
      </c>
      <c r="O4" t="s">
        <v>36</v>
      </c>
      <c r="P4">
        <v>150260</v>
      </c>
      <c r="Q4">
        <v>0</v>
      </c>
    </row>
    <row r="5" spans="1:17" x14ac:dyDescent="0.25">
      <c r="A5" t="s">
        <v>32</v>
      </c>
      <c r="B5">
        <v>780848</v>
      </c>
      <c r="C5" t="s">
        <v>38</v>
      </c>
      <c r="D5">
        <v>121</v>
      </c>
      <c r="E5">
        <v>2100</v>
      </c>
      <c r="F5" t="s">
        <v>37</v>
      </c>
      <c r="G5">
        <v>1</v>
      </c>
      <c r="M5">
        <v>1</v>
      </c>
      <c r="N5">
        <v>2100</v>
      </c>
      <c r="O5" t="s">
        <v>30</v>
      </c>
      <c r="P5">
        <v>0</v>
      </c>
      <c r="Q5">
        <v>2100</v>
      </c>
    </row>
    <row r="6" spans="1:17" x14ac:dyDescent="0.25">
      <c r="A6" t="s">
        <v>32</v>
      </c>
      <c r="B6">
        <v>780848</v>
      </c>
      <c r="C6" t="s">
        <v>38</v>
      </c>
      <c r="D6">
        <v>121</v>
      </c>
      <c r="E6">
        <v>2555</v>
      </c>
      <c r="F6" t="s">
        <v>39</v>
      </c>
      <c r="G6">
        <v>2</v>
      </c>
      <c r="M6">
        <v>2</v>
      </c>
      <c r="N6">
        <v>5110</v>
      </c>
      <c r="O6" t="s">
        <v>30</v>
      </c>
      <c r="P6">
        <v>0</v>
      </c>
      <c r="Q6">
        <v>5110</v>
      </c>
    </row>
    <row r="7" spans="1:17" x14ac:dyDescent="0.25">
      <c r="A7" t="s">
        <v>32</v>
      </c>
      <c r="B7">
        <v>780848</v>
      </c>
      <c r="C7" t="s">
        <v>38</v>
      </c>
      <c r="D7">
        <v>121</v>
      </c>
      <c r="E7">
        <v>2</v>
      </c>
      <c r="F7" t="s">
        <v>40</v>
      </c>
      <c r="G7">
        <v>3</v>
      </c>
      <c r="M7">
        <v>3</v>
      </c>
      <c r="N7">
        <v>6</v>
      </c>
      <c r="O7" t="s">
        <v>30</v>
      </c>
      <c r="P7">
        <v>0</v>
      </c>
      <c r="Q7">
        <v>6</v>
      </c>
    </row>
    <row r="8" spans="1:17" x14ac:dyDescent="0.25">
      <c r="D8"/>
    </row>
    <row r="9" spans="1:17" x14ac:dyDescent="0.25">
      <c r="D9"/>
    </row>
    <row r="10" spans="1:17" x14ac:dyDescent="0.25">
      <c r="D10"/>
    </row>
    <row r="11" spans="1:17" x14ac:dyDescent="0.25">
      <c r="D11"/>
    </row>
    <row r="12" spans="1:17" x14ac:dyDescent="0.25">
      <c r="D12"/>
    </row>
    <row r="13" spans="1:17" x14ac:dyDescent="0.25">
      <c r="D13"/>
    </row>
    <row r="14" spans="1:17" x14ac:dyDescent="0.25">
      <c r="D14"/>
    </row>
    <row r="15" spans="1:17" x14ac:dyDescent="0.25">
      <c r="D15"/>
    </row>
    <row r="16" spans="1:17" x14ac:dyDescent="0.25">
      <c r="D1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F1"/>
  <sheetViews>
    <sheetView workbookViewId="0">
      <selection activeCell="D24" sqref="D24"/>
    </sheetView>
  </sheetViews>
  <sheetFormatPr baseColWidth="10" defaultRowHeight="15" x14ac:dyDescent="0.25"/>
  <cols>
    <col min="1" max="1" width="19.140625" customWidth="1"/>
    <col min="2" max="2" width="13.85546875" customWidth="1"/>
  </cols>
  <sheetData>
    <row r="1" spans="1:6" x14ac:dyDescent="0.25">
      <c r="A1" t="s">
        <v>0</v>
      </c>
      <c r="B1" t="s">
        <v>1</v>
      </c>
      <c r="C1" t="s">
        <v>2</v>
      </c>
      <c r="D1" s="1" t="s">
        <v>3</v>
      </c>
      <c r="E1" t="s">
        <v>5</v>
      </c>
      <c r="F1" t="s">
        <v>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"/>
  <sheetViews>
    <sheetView workbookViewId="0">
      <selection activeCell="B6" sqref="B6"/>
    </sheetView>
  </sheetViews>
  <sheetFormatPr baseColWidth="10" defaultRowHeight="15" x14ac:dyDescent="0.25"/>
  <cols>
    <col min="1" max="1" width="23.7109375" customWidth="1"/>
    <col min="2" max="2" width="75.140625" customWidth="1"/>
  </cols>
  <sheetData>
    <row r="1" spans="1:2" x14ac:dyDescent="0.25">
      <c r="A1" s="4" t="s">
        <v>15</v>
      </c>
      <c r="B1" s="4" t="s">
        <v>16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D6"/>
  <sheetViews>
    <sheetView workbookViewId="0">
      <selection activeCell="E11" sqref="E11"/>
    </sheetView>
  </sheetViews>
  <sheetFormatPr baseColWidth="10" defaultRowHeight="15" x14ac:dyDescent="0.25"/>
  <cols>
    <col min="1" max="1" width="16.140625" bestFit="1" customWidth="1"/>
    <col min="2" max="2" width="11.85546875" bestFit="1" customWidth="1"/>
  </cols>
  <sheetData>
    <row r="1" spans="1:4" x14ac:dyDescent="0.25">
      <c r="A1" t="s">
        <v>12</v>
      </c>
      <c r="B1" s="2">
        <v>0</v>
      </c>
      <c r="C1" s="2"/>
      <c r="D1" s="2"/>
    </row>
    <row r="2" spans="1:4" x14ac:dyDescent="0.25">
      <c r="A2" t="s">
        <v>13</v>
      </c>
      <c r="B2" s="3">
        <f ca="1">TODAY()</f>
        <v>44223</v>
      </c>
    </row>
    <row r="3" spans="1:4" x14ac:dyDescent="0.25">
      <c r="A3" t="s">
        <v>14</v>
      </c>
      <c r="B3">
        <v>0</v>
      </c>
    </row>
    <row r="4" spans="1:4" x14ac:dyDescent="0.25">
      <c r="A4" t="s">
        <v>19</v>
      </c>
      <c r="B4" s="3">
        <v>44116</v>
      </c>
    </row>
    <row r="5" spans="1:4" x14ac:dyDescent="0.25">
      <c r="A5" t="s">
        <v>20</v>
      </c>
      <c r="B5">
        <f ca="1">MONTH(B2)</f>
        <v>1</v>
      </c>
    </row>
    <row r="6" spans="1:4" x14ac:dyDescent="0.25">
      <c r="A6" t="s">
        <v>18</v>
      </c>
      <c r="B6">
        <f ca="1">YEAR(B2)</f>
        <v>2021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Facturas Demex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2021-01-27T18:08:42Z</dcterms:modified>
</cp:coreProperties>
</file>